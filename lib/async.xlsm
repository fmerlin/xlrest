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2" windowWidth="15876" windowHeight="8736"/>
  </bookViews>
  <sheets>
    <sheet name="Feuil1" sheetId="1" r:id="rId1"/>
    <sheet name="Feuil2" sheetId="2" r:id="rId2"/>
    <sheet name="Feuil3" sheetId="3" r:id="rId3"/>
  </sheets>
  <calcPr calcId="145621" calcMode="manual"/>
</workbook>
</file>

<file path=xl/calcChain.xml><?xml version="1.0" encoding="utf-8"?>
<calcChain xmlns="http://schemas.openxmlformats.org/spreadsheetml/2006/main">
  <c r="B2" i="1" l="1"/>
  <c r="N17" i="1" a="1"/>
  <c r="D1" i="1"/>
  <c r="B9" i="2"/>
  <c r="R22" i="1" l="1"/>
  <c r="P36" i="1"/>
  <c r="N19" i="1"/>
  <c r="P38" i="1"/>
  <c r="N62" i="1"/>
  <c r="O55" i="1"/>
  <c r="P65" i="1"/>
  <c r="S35" i="1"/>
  <c r="O44" i="1"/>
  <c r="Q26" i="1"/>
  <c r="T45" i="1"/>
  <c r="S43" i="1"/>
  <c r="N28" i="1"/>
  <c r="P67" i="1"/>
  <c r="T49" i="1"/>
  <c r="R27" i="1"/>
  <c r="U46" i="1"/>
  <c r="U53" i="1"/>
  <c r="R65" i="1"/>
  <c r="T18" i="1"/>
  <c r="P49" i="1"/>
  <c r="N56" i="1"/>
  <c r="S52" i="1"/>
  <c r="U23" i="1"/>
  <c r="U54" i="1"/>
  <c r="P55" i="1"/>
  <c r="R45" i="1"/>
  <c r="Q36" i="1"/>
  <c r="U22" i="1"/>
  <c r="T59" i="1"/>
  <c r="R34" i="1"/>
  <c r="N38" i="1"/>
  <c r="S33" i="1"/>
  <c r="S55" i="1"/>
  <c r="R39" i="1"/>
  <c r="Q59" i="1"/>
  <c r="Q23" i="1"/>
  <c r="R48" i="1"/>
  <c r="T50" i="1"/>
  <c r="R64" i="1"/>
  <c r="N43" i="1"/>
  <c r="U40" i="1"/>
  <c r="R50" i="1"/>
  <c r="T28" i="1"/>
  <c r="Q29" i="1"/>
  <c r="S40" i="1"/>
  <c r="Q41" i="1"/>
  <c r="T55" i="1"/>
  <c r="Q45" i="1"/>
  <c r="S51" i="1"/>
  <c r="N57" i="1"/>
  <c r="P34" i="1"/>
  <c r="P54" i="1"/>
  <c r="Q66" i="1"/>
  <c r="O61" i="1"/>
  <c r="S65" i="1"/>
  <c r="O64" i="1"/>
  <c r="S45" i="1"/>
  <c r="O50" i="1"/>
  <c r="R20" i="1"/>
  <c r="S58" i="1"/>
  <c r="U66" i="1"/>
  <c r="S66" i="1"/>
  <c r="U64" i="1"/>
  <c r="Q57" i="1"/>
  <c r="O31" i="1"/>
  <c r="T38" i="1"/>
  <c r="R18" i="1"/>
  <c r="O56" i="1"/>
  <c r="U28" i="1"/>
  <c r="R54" i="1"/>
  <c r="S19" i="1"/>
  <c r="T19" i="1"/>
  <c r="R32" i="1"/>
  <c r="R35" i="1"/>
  <c r="O22" i="1"/>
  <c r="S47" i="1"/>
  <c r="N34" i="1"/>
  <c r="O42" i="1"/>
  <c r="S28" i="1"/>
  <c r="R21" i="1"/>
  <c r="N37" i="1"/>
  <c r="P35" i="1"/>
  <c r="R57" i="1"/>
  <c r="Q37" i="1"/>
  <c r="Q52" i="1"/>
  <c r="P52" i="1"/>
  <c r="R33" i="1"/>
  <c r="O63" i="1"/>
  <c r="P23" i="1"/>
  <c r="P29" i="1"/>
  <c r="R30" i="1"/>
  <c r="S57" i="1"/>
  <c r="R29" i="1"/>
  <c r="R59" i="1"/>
  <c r="Q39" i="1"/>
  <c r="P19" i="1"/>
  <c r="U38" i="1"/>
  <c r="R62" i="1"/>
  <c r="O19" i="1"/>
  <c r="T39" i="1"/>
  <c r="O65" i="1"/>
  <c r="R67" i="1"/>
  <c r="R49" i="1"/>
  <c r="Q31" i="1"/>
  <c r="P53" i="1"/>
  <c r="R43" i="1"/>
  <c r="R28" i="1"/>
  <c r="U58" i="1"/>
  <c r="O47" i="1"/>
  <c r="T40" i="1"/>
  <c r="O30" i="1"/>
  <c r="U47" i="1"/>
  <c r="O35" i="1"/>
  <c r="S64" i="1"/>
  <c r="U60" i="1"/>
  <c r="T42" i="1"/>
  <c r="T44" i="1"/>
  <c r="S49" i="1"/>
  <c r="O33" i="1"/>
  <c r="R53" i="1"/>
  <c r="R23" i="1"/>
  <c r="R47" i="1"/>
  <c r="N65" i="1"/>
  <c r="Q18" i="1"/>
  <c r="N50" i="1"/>
  <c r="T57" i="1"/>
  <c r="T64" i="1"/>
  <c r="O49" i="1"/>
  <c r="U25" i="1"/>
  <c r="R31" i="1"/>
  <c r="R41" i="1"/>
  <c r="P26" i="1"/>
  <c r="T36" i="1"/>
  <c r="U35" i="1"/>
  <c r="O27" i="1"/>
  <c r="T25" i="1"/>
  <c r="P25" i="1"/>
  <c r="R61" i="1"/>
  <c r="S25" i="1"/>
  <c r="P44" i="1"/>
  <c r="U20" i="1"/>
  <c r="R60" i="1"/>
  <c r="R52" i="1"/>
  <c r="Q54" i="1"/>
  <c r="T43" i="1"/>
  <c r="S34" i="1"/>
  <c r="P59" i="1"/>
  <c r="T21" i="1"/>
  <c r="O24" i="1"/>
  <c r="T32" i="1"/>
  <c r="N54" i="1"/>
  <c r="N42" i="1"/>
  <c r="Q42" i="1"/>
  <c r="T41" i="1"/>
  <c r="U41" i="1"/>
  <c r="O62" i="1"/>
  <c r="U26" i="1"/>
  <c r="P39" i="1"/>
  <c r="N32" i="1"/>
  <c r="N53" i="1"/>
  <c r="S56" i="1"/>
  <c r="O57" i="1"/>
  <c r="R24" i="1"/>
  <c r="N25" i="1"/>
  <c r="P61" i="1"/>
  <c r="S23" i="1"/>
  <c r="N18" i="1"/>
  <c r="U34" i="1"/>
  <c r="P18" i="1"/>
  <c r="R36" i="1"/>
  <c r="U48" i="1"/>
  <c r="P24" i="1"/>
  <c r="U19" i="1"/>
  <c r="S29" i="1"/>
  <c r="U63" i="1"/>
  <c r="S62" i="1"/>
  <c r="Q20" i="1"/>
  <c r="P37" i="1"/>
  <c r="Q50" i="1"/>
  <c r="P27" i="1"/>
  <c r="O40" i="1"/>
  <c r="O25" i="1"/>
  <c r="U36" i="1"/>
  <c r="S37" i="1"/>
  <c r="N66" i="1"/>
  <c r="O59" i="1"/>
  <c r="O18" i="1"/>
  <c r="P42" i="1"/>
  <c r="T58" i="1"/>
  <c r="U33" i="1"/>
  <c r="R37" i="1"/>
  <c r="U29" i="1"/>
  <c r="T26" i="1"/>
  <c r="U49" i="1"/>
  <c r="T34" i="1"/>
  <c r="S21" i="1"/>
  <c r="S20" i="1"/>
  <c r="P51" i="1"/>
  <c r="P45" i="1"/>
  <c r="T53" i="1"/>
  <c r="Q62" i="1"/>
  <c r="S26" i="1"/>
  <c r="S17" i="1"/>
  <c r="P47" i="1"/>
  <c r="T66" i="1"/>
  <c r="O34" i="1"/>
  <c r="N52" i="1"/>
  <c r="P43" i="1"/>
  <c r="T60" i="1"/>
  <c r="P46" i="1"/>
  <c r="U61" i="1"/>
  <c r="P31" i="1"/>
  <c r="T63" i="1"/>
  <c r="T61" i="1"/>
  <c r="U27" i="1"/>
  <c r="T22" i="1"/>
  <c r="U43" i="1"/>
  <c r="O48" i="1"/>
  <c r="P60" i="1"/>
  <c r="O26" i="1"/>
  <c r="N46" i="1"/>
  <c r="Q21" i="1"/>
  <c r="O28" i="1"/>
  <c r="O46" i="1"/>
  <c r="S60" i="1"/>
  <c r="Q40" i="1"/>
  <c r="N30" i="1"/>
  <c r="Q47" i="1"/>
  <c r="U57" i="1"/>
  <c r="T67" i="1"/>
  <c r="S42" i="1"/>
  <c r="Q22" i="1"/>
  <c r="S27" i="1"/>
  <c r="P63" i="1"/>
  <c r="S63" i="1"/>
  <c r="R55" i="1"/>
  <c r="O53" i="1"/>
  <c r="S59" i="1"/>
  <c r="S38" i="1"/>
  <c r="O58" i="1"/>
  <c r="Q44" i="1"/>
  <c r="N47" i="1"/>
  <c r="R42" i="1"/>
  <c r="N36" i="1"/>
  <c r="N58" i="1"/>
  <c r="S67" i="1"/>
  <c r="N17" i="1"/>
  <c r="Q64" i="1"/>
  <c r="Q32" i="1"/>
  <c r="U56" i="1"/>
  <c r="N55" i="1"/>
  <c r="Q63" i="1"/>
  <c r="P30" i="1"/>
  <c r="O38" i="1"/>
  <c r="P40" i="1"/>
  <c r="Q48" i="1"/>
  <c r="N48" i="1"/>
  <c r="O52" i="1"/>
  <c r="U44" i="1"/>
  <c r="N64" i="1"/>
  <c r="P64" i="1"/>
  <c r="T23" i="1"/>
  <c r="T35" i="1"/>
  <c r="U18" i="1"/>
  <c r="N27" i="1"/>
  <c r="T52" i="1"/>
  <c r="T29" i="1"/>
  <c r="P50" i="1"/>
  <c r="N60" i="1"/>
  <c r="R58" i="1"/>
  <c r="Q38" i="1"/>
  <c r="O66" i="1"/>
  <c r="Q60" i="1"/>
  <c r="Q30" i="1"/>
  <c r="T27" i="1"/>
  <c r="N39" i="1"/>
  <c r="T48" i="1"/>
  <c r="P22" i="1"/>
  <c r="U59" i="1"/>
  <c r="R51" i="1"/>
  <c r="R63" i="1"/>
  <c r="S41" i="1"/>
  <c r="U52" i="1"/>
  <c r="Q65" i="1"/>
  <c r="O21" i="1"/>
  <c r="N49" i="1"/>
  <c r="P58" i="1"/>
  <c r="T62" i="1"/>
  <c r="N33" i="1"/>
  <c r="Q67" i="1"/>
  <c r="Q27" i="1"/>
  <c r="P56" i="1"/>
  <c r="T65" i="1"/>
  <c r="R46" i="1"/>
  <c r="T20" i="1"/>
  <c r="S36" i="1"/>
  <c r="U24" i="1"/>
  <c r="P21" i="1"/>
  <c r="Q24" i="1"/>
  <c r="P32" i="1"/>
  <c r="O43" i="1"/>
  <c r="U50" i="1"/>
  <c r="N67" i="1"/>
  <c r="U31" i="1"/>
  <c r="U32" i="1"/>
  <c r="Q17" i="1"/>
  <c r="Q35" i="1"/>
  <c r="U42" i="1"/>
  <c r="S32" i="1"/>
  <c r="T54" i="1"/>
  <c r="Q49" i="1"/>
  <c r="R44" i="1"/>
  <c r="Q28" i="1"/>
  <c r="O20" i="1"/>
  <c r="O51" i="1"/>
  <c r="Q51" i="1"/>
  <c r="T46" i="1"/>
  <c r="N31" i="1"/>
  <c r="P41" i="1"/>
  <c r="O54" i="1"/>
  <c r="U67" i="1"/>
  <c r="T17" i="1"/>
  <c r="O37" i="1"/>
  <c r="N63" i="1"/>
  <c r="S46" i="1"/>
  <c r="N24" i="1"/>
  <c r="P48" i="1"/>
  <c r="T33" i="1"/>
  <c r="Q25" i="1"/>
  <c r="N35" i="1"/>
  <c r="R26" i="1"/>
  <c r="T24" i="1"/>
  <c r="N40" i="1"/>
  <c r="S30" i="1"/>
  <c r="S53" i="1"/>
  <c r="T30" i="1"/>
  <c r="N22" i="1"/>
  <c r="O60" i="1"/>
  <c r="N29" i="1"/>
  <c r="S50" i="1"/>
  <c r="T31" i="1"/>
  <c r="U62" i="1"/>
  <c r="Q56" i="1"/>
  <c r="N21" i="1"/>
  <c r="P66" i="1"/>
  <c r="T51" i="1"/>
  <c r="S61" i="1"/>
  <c r="P57" i="1"/>
  <c r="S18" i="1"/>
  <c r="U55" i="1"/>
  <c r="O67" i="1"/>
  <c r="Q43" i="1"/>
  <c r="N26" i="1"/>
  <c r="N59" i="1"/>
  <c r="P20" i="1"/>
  <c r="R17" i="1"/>
  <c r="R56" i="1"/>
  <c r="R66" i="1"/>
  <c r="O45" i="1"/>
  <c r="U39" i="1"/>
  <c r="Q46" i="1"/>
  <c r="Q61" i="1"/>
  <c r="P33" i="1"/>
  <c r="S39" i="1"/>
  <c r="O41" i="1"/>
  <c r="N61" i="1"/>
  <c r="R38" i="1"/>
  <c r="N51" i="1"/>
  <c r="R25" i="1"/>
  <c r="P62" i="1"/>
  <c r="O23" i="1"/>
  <c r="S24" i="1"/>
  <c r="T37" i="1"/>
  <c r="P28" i="1"/>
  <c r="U45" i="1"/>
  <c r="U17" i="1"/>
  <c r="S44" i="1"/>
  <c r="U21" i="1"/>
  <c r="S48" i="1"/>
  <c r="Q53" i="1"/>
  <c r="Q55" i="1"/>
  <c r="Q58" i="1"/>
  <c r="U37" i="1"/>
  <c r="O17" i="1"/>
  <c r="N20" i="1"/>
  <c r="T47" i="1"/>
  <c r="Q34" i="1"/>
  <c r="O29" i="1"/>
  <c r="R40" i="1"/>
  <c r="U30" i="1"/>
  <c r="N44" i="1"/>
  <c r="O39" i="1"/>
  <c r="Q19" i="1"/>
  <c r="N23" i="1"/>
  <c r="U65" i="1"/>
  <c r="T56" i="1"/>
  <c r="R19" i="1"/>
  <c r="S54" i="1"/>
  <c r="Q33" i="1"/>
  <c r="N45" i="1"/>
  <c r="U51" i="1"/>
  <c r="S22" i="1"/>
  <c r="P17" i="1"/>
  <c r="O36" i="1"/>
  <c r="N41" i="1"/>
  <c r="O32" i="1"/>
  <c r="S31" i="1"/>
  <c r="D7" i="1"/>
  <c r="D2" i="1"/>
  <c r="F7" i="1" l="1"/>
  <c r="F2" i="1"/>
  <c r="B17" i="1" s="1" a="1"/>
  <c r="E17" i="1" l="1"/>
  <c r="I17" i="1"/>
  <c r="B18" i="1"/>
  <c r="F18" i="1"/>
  <c r="J18" i="1"/>
  <c r="C19" i="1"/>
  <c r="G19" i="1"/>
  <c r="K19" i="1"/>
  <c r="D20" i="1"/>
  <c r="H20" i="1"/>
  <c r="L20" i="1"/>
  <c r="E21" i="1"/>
  <c r="I21" i="1"/>
  <c r="B22" i="1"/>
  <c r="F22" i="1"/>
  <c r="J22" i="1"/>
  <c r="C23" i="1"/>
  <c r="G23" i="1"/>
  <c r="K23" i="1"/>
  <c r="D24" i="1"/>
  <c r="H24" i="1"/>
  <c r="L24" i="1"/>
  <c r="E25" i="1"/>
  <c r="I25" i="1"/>
  <c r="B26" i="1"/>
  <c r="F26" i="1"/>
  <c r="J26" i="1"/>
  <c r="C27" i="1"/>
  <c r="G27" i="1"/>
  <c r="K27" i="1"/>
  <c r="D28" i="1"/>
  <c r="H28" i="1"/>
  <c r="L28" i="1"/>
  <c r="E29" i="1"/>
  <c r="I29" i="1"/>
  <c r="B30" i="1"/>
  <c r="F30" i="1"/>
  <c r="J30" i="1"/>
  <c r="C31" i="1"/>
  <c r="G31" i="1"/>
  <c r="K31" i="1"/>
  <c r="D32" i="1"/>
  <c r="H32" i="1"/>
  <c r="L32" i="1"/>
  <c r="E33" i="1"/>
  <c r="I33" i="1"/>
  <c r="B34" i="1"/>
  <c r="F34" i="1"/>
  <c r="J34" i="1"/>
  <c r="C35" i="1"/>
  <c r="G35" i="1"/>
  <c r="K35" i="1"/>
  <c r="D36" i="1"/>
  <c r="H36" i="1"/>
  <c r="L36" i="1"/>
  <c r="E37" i="1"/>
  <c r="I37" i="1"/>
  <c r="B38" i="1"/>
  <c r="F38" i="1"/>
  <c r="J38" i="1"/>
  <c r="C39" i="1"/>
  <c r="G39" i="1"/>
  <c r="K39" i="1"/>
  <c r="D40" i="1"/>
  <c r="H40" i="1"/>
  <c r="L40" i="1"/>
  <c r="E41" i="1"/>
  <c r="I41" i="1"/>
  <c r="B42" i="1"/>
  <c r="F42" i="1"/>
  <c r="J42" i="1"/>
  <c r="C43" i="1"/>
  <c r="G43" i="1"/>
  <c r="K43" i="1"/>
  <c r="D44" i="1"/>
  <c r="H44" i="1"/>
  <c r="L44" i="1"/>
  <c r="E45" i="1"/>
  <c r="I45" i="1"/>
  <c r="B46" i="1"/>
  <c r="F46" i="1"/>
  <c r="J46" i="1"/>
  <c r="C47" i="1"/>
  <c r="G47" i="1"/>
  <c r="B17" i="1"/>
  <c r="G17" i="1"/>
  <c r="L17" i="1"/>
  <c r="G18" i="1"/>
  <c r="L18" i="1"/>
  <c r="F19" i="1"/>
  <c r="L19" i="1"/>
  <c r="F20" i="1"/>
  <c r="C17" i="1"/>
  <c r="H17" i="1"/>
  <c r="C18" i="1"/>
  <c r="H18" i="1"/>
  <c r="B19" i="1"/>
  <c r="H19" i="1"/>
  <c r="B20" i="1"/>
  <c r="G20" i="1"/>
  <c r="B21" i="1"/>
  <c r="G21" i="1"/>
  <c r="L21" i="1"/>
  <c r="G22" i="1"/>
  <c r="L22" i="1"/>
  <c r="F23" i="1"/>
  <c r="L23" i="1"/>
  <c r="F24" i="1"/>
  <c r="K24" i="1"/>
  <c r="F25" i="1"/>
  <c r="K25" i="1"/>
  <c r="E26" i="1"/>
  <c r="K26" i="1"/>
  <c r="E27" i="1"/>
  <c r="J27" i="1"/>
  <c r="E28" i="1"/>
  <c r="J28" i="1"/>
  <c r="D29" i="1"/>
  <c r="J29" i="1"/>
  <c r="D30" i="1"/>
  <c r="I30" i="1"/>
  <c r="D31" i="1"/>
  <c r="I31" i="1"/>
  <c r="C32" i="1"/>
  <c r="I32" i="1"/>
  <c r="C33" i="1"/>
  <c r="H33" i="1"/>
  <c r="C34" i="1"/>
  <c r="H34" i="1"/>
  <c r="B35" i="1"/>
  <c r="H35" i="1"/>
  <c r="B36" i="1"/>
  <c r="G36" i="1"/>
  <c r="B37" i="1"/>
  <c r="G37" i="1"/>
  <c r="L37" i="1"/>
  <c r="G38" i="1"/>
  <c r="L38" i="1"/>
  <c r="F39" i="1"/>
  <c r="L39" i="1"/>
  <c r="F40" i="1"/>
  <c r="K40" i="1"/>
  <c r="F41" i="1"/>
  <c r="K41" i="1"/>
  <c r="E42" i="1"/>
  <c r="K42" i="1"/>
  <c r="E43" i="1"/>
  <c r="J43" i="1"/>
  <c r="E44" i="1"/>
  <c r="J44" i="1"/>
  <c r="D45" i="1"/>
  <c r="J45" i="1"/>
  <c r="D46" i="1"/>
  <c r="I46" i="1"/>
  <c r="D47" i="1"/>
  <c r="I47" i="1"/>
  <c r="B48" i="1"/>
  <c r="F48" i="1"/>
  <c r="J48" i="1"/>
  <c r="C49" i="1"/>
  <c r="G49" i="1"/>
  <c r="K49" i="1"/>
  <c r="D50" i="1"/>
  <c r="H50" i="1"/>
  <c r="L50" i="1"/>
  <c r="E51" i="1"/>
  <c r="I51" i="1"/>
  <c r="B52" i="1"/>
  <c r="F52" i="1"/>
  <c r="J52" i="1"/>
  <c r="C53" i="1"/>
  <c r="G53" i="1"/>
  <c r="K53" i="1"/>
  <c r="D54" i="1"/>
  <c r="H54" i="1"/>
  <c r="L54" i="1"/>
  <c r="E55" i="1"/>
  <c r="I55" i="1"/>
  <c r="B56" i="1"/>
  <c r="F56" i="1"/>
  <c r="J56" i="1"/>
  <c r="C57" i="1"/>
  <c r="G57" i="1"/>
  <c r="K57" i="1"/>
  <c r="D58" i="1"/>
  <c r="H58" i="1"/>
  <c r="L58" i="1"/>
  <c r="E59" i="1"/>
  <c r="I59" i="1"/>
  <c r="B60" i="1"/>
  <c r="F60" i="1"/>
  <c r="J60" i="1"/>
  <c r="C61" i="1"/>
  <c r="G61" i="1"/>
  <c r="K61" i="1"/>
  <c r="D62" i="1"/>
  <c r="H62" i="1"/>
  <c r="L62" i="1"/>
  <c r="E63" i="1"/>
  <c r="I63" i="1"/>
  <c r="B64" i="1"/>
  <c r="F64" i="1"/>
  <c r="J64" i="1"/>
  <c r="C65" i="1"/>
  <c r="G65" i="1"/>
  <c r="K65" i="1"/>
  <c r="D66" i="1"/>
  <c r="H66" i="1"/>
  <c r="L66" i="1"/>
  <c r="E67" i="1"/>
  <c r="I67" i="1"/>
  <c r="D17" i="1"/>
  <c r="J17" i="1"/>
  <c r="D18" i="1"/>
  <c r="I18" i="1"/>
  <c r="D19" i="1"/>
  <c r="I19" i="1"/>
  <c r="C20" i="1"/>
  <c r="I20" i="1"/>
  <c r="C21" i="1"/>
  <c r="H21" i="1"/>
  <c r="C22" i="1"/>
  <c r="H22" i="1"/>
  <c r="B23" i="1"/>
  <c r="H23" i="1"/>
  <c r="B24" i="1"/>
  <c r="G24" i="1"/>
  <c r="B25" i="1"/>
  <c r="G25" i="1"/>
  <c r="L25" i="1"/>
  <c r="G26" i="1"/>
  <c r="L26" i="1"/>
  <c r="F27" i="1"/>
  <c r="L27" i="1"/>
  <c r="F28" i="1"/>
  <c r="K28" i="1"/>
  <c r="F29" i="1"/>
  <c r="K29" i="1"/>
  <c r="E30" i="1"/>
  <c r="K30" i="1"/>
  <c r="E31" i="1"/>
  <c r="J31" i="1"/>
  <c r="E32" i="1"/>
  <c r="J32" i="1"/>
  <c r="D33" i="1"/>
  <c r="J33" i="1"/>
  <c r="D34" i="1"/>
  <c r="I34" i="1"/>
  <c r="D35" i="1"/>
  <c r="I35" i="1"/>
  <c r="C36" i="1"/>
  <c r="I36" i="1"/>
  <c r="C37" i="1"/>
  <c r="H37" i="1"/>
  <c r="C38" i="1"/>
  <c r="H38" i="1"/>
  <c r="B39" i="1"/>
  <c r="H39" i="1"/>
  <c r="B40" i="1"/>
  <c r="G40" i="1"/>
  <c r="B41" i="1"/>
  <c r="G41" i="1"/>
  <c r="F17" i="1"/>
  <c r="E19" i="1"/>
  <c r="K20" i="1"/>
  <c r="K21" i="1"/>
  <c r="K22" i="1"/>
  <c r="J23" i="1"/>
  <c r="J24" i="1"/>
  <c r="J25" i="1"/>
  <c r="I26" i="1"/>
  <c r="I27" i="1"/>
  <c r="I28" i="1"/>
  <c r="H29" i="1"/>
  <c r="H30" i="1"/>
  <c r="H31" i="1"/>
  <c r="G32" i="1"/>
  <c r="G33" i="1"/>
  <c r="G34" i="1"/>
  <c r="F35" i="1"/>
  <c r="F36" i="1"/>
  <c r="F37" i="1"/>
  <c r="E38" i="1"/>
  <c r="E39" i="1"/>
  <c r="E40" i="1"/>
  <c r="D41" i="1"/>
  <c r="C42" i="1"/>
  <c r="I42" i="1"/>
  <c r="F43" i="1"/>
  <c r="B44" i="1"/>
  <c r="I44" i="1"/>
  <c r="F45" i="1"/>
  <c r="L45" i="1"/>
  <c r="H46" i="1"/>
  <c r="E47" i="1"/>
  <c r="K47" i="1"/>
  <c r="E48" i="1"/>
  <c r="K48" i="1"/>
  <c r="E49" i="1"/>
  <c r="J49" i="1"/>
  <c r="E50" i="1"/>
  <c r="J50" i="1"/>
  <c r="D51" i="1"/>
  <c r="J51" i="1"/>
  <c r="D52" i="1"/>
  <c r="I52" i="1"/>
  <c r="D53" i="1"/>
  <c r="I53" i="1"/>
  <c r="C54" i="1"/>
  <c r="I54" i="1"/>
  <c r="C55" i="1"/>
  <c r="H55" i="1"/>
  <c r="C56" i="1"/>
  <c r="H56" i="1"/>
  <c r="B57" i="1"/>
  <c r="H57" i="1"/>
  <c r="B58" i="1"/>
  <c r="G58" i="1"/>
  <c r="B59" i="1"/>
  <c r="G59" i="1"/>
  <c r="L59" i="1"/>
  <c r="G60" i="1"/>
  <c r="L60" i="1"/>
  <c r="F61" i="1"/>
  <c r="L61" i="1"/>
  <c r="F62" i="1"/>
  <c r="K62" i="1"/>
  <c r="F63" i="1"/>
  <c r="K63" i="1"/>
  <c r="E64" i="1"/>
  <c r="K64" i="1"/>
  <c r="E65" i="1"/>
  <c r="J65" i="1"/>
  <c r="E66" i="1"/>
  <c r="J66" i="1"/>
  <c r="D67" i="1"/>
  <c r="J67" i="1"/>
  <c r="E20" i="1"/>
  <c r="D27" i="1"/>
  <c r="C30" i="1"/>
  <c r="B32" i="1"/>
  <c r="L33" i="1"/>
  <c r="L35" i="1"/>
  <c r="K37" i="1"/>
  <c r="J39" i="1"/>
  <c r="J41" i="1"/>
  <c r="B43" i="1"/>
  <c r="K17" i="1"/>
  <c r="J19" i="1"/>
  <c r="D21" i="1"/>
  <c r="D22" i="1"/>
  <c r="D23" i="1"/>
  <c r="C24" i="1"/>
  <c r="C25" i="1"/>
  <c r="C26" i="1"/>
  <c r="B27" i="1"/>
  <c r="B28" i="1"/>
  <c r="B29" i="1"/>
  <c r="L29" i="1"/>
  <c r="L30" i="1"/>
  <c r="L31" i="1"/>
  <c r="K32" i="1"/>
  <c r="K33" i="1"/>
  <c r="K34" i="1"/>
  <c r="J35" i="1"/>
  <c r="J36" i="1"/>
  <c r="J37" i="1"/>
  <c r="I38" i="1"/>
  <c r="I39" i="1"/>
  <c r="I40" i="1"/>
  <c r="H41" i="1"/>
  <c r="D42" i="1"/>
  <c r="L42" i="1"/>
  <c r="H43" i="1"/>
  <c r="C44" i="1"/>
  <c r="K44" i="1"/>
  <c r="G45" i="1"/>
  <c r="C46" i="1"/>
  <c r="K46" i="1"/>
  <c r="F47" i="1"/>
  <c r="L47" i="1"/>
  <c r="G48" i="1"/>
  <c r="L48" i="1"/>
  <c r="F49" i="1"/>
  <c r="L49" i="1"/>
  <c r="F50" i="1"/>
  <c r="K50" i="1"/>
  <c r="F51" i="1"/>
  <c r="K51" i="1"/>
  <c r="E52" i="1"/>
  <c r="K52" i="1"/>
  <c r="E53" i="1"/>
  <c r="J53" i="1"/>
  <c r="E54" i="1"/>
  <c r="J54" i="1"/>
  <c r="D55" i="1"/>
  <c r="J55" i="1"/>
  <c r="D56" i="1"/>
  <c r="I56" i="1"/>
  <c r="D57" i="1"/>
  <c r="I57" i="1"/>
  <c r="C58" i="1"/>
  <c r="I58" i="1"/>
  <c r="C59" i="1"/>
  <c r="H59" i="1"/>
  <c r="C60" i="1"/>
  <c r="H60" i="1"/>
  <c r="B61" i="1"/>
  <c r="H61" i="1"/>
  <c r="B62" i="1"/>
  <c r="G62" i="1"/>
  <c r="B63" i="1"/>
  <c r="G63" i="1"/>
  <c r="L63" i="1"/>
  <c r="G64" i="1"/>
  <c r="L64" i="1"/>
  <c r="F65" i="1"/>
  <c r="L65" i="1"/>
  <c r="F66" i="1"/>
  <c r="K66" i="1"/>
  <c r="F67" i="1"/>
  <c r="K67" i="1"/>
  <c r="E18" i="1"/>
  <c r="F21" i="1"/>
  <c r="E22" i="1"/>
  <c r="E23" i="1"/>
  <c r="E24" i="1"/>
  <c r="D25" i="1"/>
  <c r="D26" i="1"/>
  <c r="C28" i="1"/>
  <c r="C29" i="1"/>
  <c r="B31" i="1"/>
  <c r="B33" i="1"/>
  <c r="L34" i="1"/>
  <c r="K36" i="1"/>
  <c r="K38" i="1"/>
  <c r="J40" i="1"/>
  <c r="G42" i="1"/>
  <c r="I43" i="1"/>
  <c r="J20" i="1"/>
  <c r="I24" i="1"/>
  <c r="G28" i="1"/>
  <c r="F32" i="1"/>
  <c r="E36" i="1"/>
  <c r="C40" i="1"/>
  <c r="D43" i="1"/>
  <c r="B45" i="1"/>
  <c r="E46" i="1"/>
  <c r="H47" i="1"/>
  <c r="H48" i="1"/>
  <c r="H49" i="1"/>
  <c r="G50" i="1"/>
  <c r="G51" i="1"/>
  <c r="G52" i="1"/>
  <c r="F53" i="1"/>
  <c r="F54" i="1"/>
  <c r="F55" i="1"/>
  <c r="E56" i="1"/>
  <c r="E57" i="1"/>
  <c r="E58" i="1"/>
  <c r="D59" i="1"/>
  <c r="D60" i="1"/>
  <c r="D61" i="1"/>
  <c r="C62" i="1"/>
  <c r="C63" i="1"/>
  <c r="C64" i="1"/>
  <c r="B65" i="1"/>
  <c r="B66" i="1"/>
  <c r="B67" i="1"/>
  <c r="L67" i="1"/>
  <c r="J21" i="1"/>
  <c r="H25" i="1"/>
  <c r="G29" i="1"/>
  <c r="F33" i="1"/>
  <c r="D37" i="1"/>
  <c r="C41" i="1"/>
  <c r="L43" i="1"/>
  <c r="C45" i="1"/>
  <c r="G46" i="1"/>
  <c r="J47" i="1"/>
  <c r="I48" i="1"/>
  <c r="I49" i="1"/>
  <c r="I50" i="1"/>
  <c r="H51" i="1"/>
  <c r="H52" i="1"/>
  <c r="H53" i="1"/>
  <c r="G54" i="1"/>
  <c r="G55" i="1"/>
  <c r="G56" i="1"/>
  <c r="F57" i="1"/>
  <c r="F58" i="1"/>
  <c r="F59" i="1"/>
  <c r="E60" i="1"/>
  <c r="E61" i="1"/>
  <c r="E62" i="1"/>
  <c r="D63" i="1"/>
  <c r="D64" i="1"/>
  <c r="D65" i="1"/>
  <c r="C66" i="1"/>
  <c r="C67" i="1"/>
  <c r="I22" i="1"/>
  <c r="H26" i="1"/>
  <c r="G30" i="1"/>
  <c r="E34" i="1"/>
  <c r="D38" i="1"/>
  <c r="L41" i="1"/>
  <c r="F44" i="1"/>
  <c r="H45" i="1"/>
  <c r="L46" i="1"/>
  <c r="C48" i="1"/>
  <c r="B49" i="1"/>
  <c r="B50" i="1"/>
  <c r="B51" i="1"/>
  <c r="L51" i="1"/>
  <c r="L52" i="1"/>
  <c r="L53" i="1"/>
  <c r="K54" i="1"/>
  <c r="K55" i="1"/>
  <c r="K56" i="1"/>
  <c r="J57" i="1"/>
  <c r="J58" i="1"/>
  <c r="J59" i="1"/>
  <c r="I60" i="1"/>
  <c r="I61" i="1"/>
  <c r="I62" i="1"/>
  <c r="H63" i="1"/>
  <c r="H64" i="1"/>
  <c r="H65" i="1"/>
  <c r="G66" i="1"/>
  <c r="G67" i="1"/>
  <c r="K18" i="1"/>
  <c r="I23" i="1"/>
  <c r="H27" i="1"/>
  <c r="F31" i="1"/>
  <c r="E35" i="1"/>
  <c r="D39" i="1"/>
  <c r="H42" i="1"/>
  <c r="G44" i="1"/>
  <c r="K45" i="1"/>
  <c r="B47" i="1"/>
  <c r="D48" i="1"/>
  <c r="D49" i="1"/>
  <c r="C50" i="1"/>
  <c r="C51" i="1"/>
  <c r="C52" i="1"/>
  <c r="B53" i="1"/>
  <c r="B54" i="1"/>
  <c r="B55" i="1"/>
  <c r="L55" i="1"/>
  <c r="L56" i="1"/>
  <c r="L57" i="1"/>
  <c r="K58" i="1"/>
  <c r="K59" i="1"/>
  <c r="K60" i="1"/>
  <c r="J61" i="1"/>
  <c r="J62" i="1"/>
  <c r="J63" i="1"/>
  <c r="I64" i="1"/>
  <c r="I65" i="1"/>
  <c r="I66" i="1"/>
  <c r="H67" i="1"/>
</calcChain>
</file>

<file path=xl/sharedStrings.xml><?xml version="1.0" encoding="utf-8"?>
<sst xmlns="http://schemas.openxmlformats.org/spreadsheetml/2006/main" count="44" uniqueCount="38">
  <si>
    <t>NAME</t>
  </si>
  <si>
    <t>DEAL</t>
  </si>
  <si>
    <t>PRICE</t>
  </si>
  <si>
    <t>SD</t>
  </si>
  <si>
    <t>STATUS</t>
  </si>
  <si>
    <t>USER</t>
  </si>
  <si>
    <t>FORMULADATE</t>
  </si>
  <si>
    <t>PRMS/SASMO</t>
  </si>
  <si>
    <t>MYENV</t>
  </si>
  <si>
    <t>ENVIRONMENT</t>
  </si>
  <si>
    <t>SNAPSHOT</t>
  </si>
  <si>
    <t>POSDATE</t>
  </si>
  <si>
    <t>NBBACKWARD</t>
  </si>
  <si>
    <t>NBFORWARD</t>
  </si>
  <si>
    <t>RISKBOOKS</t>
  </si>
  <si>
    <t>BOOKS</t>
  </si>
  <si>
    <t>DEALS</t>
  </si>
  <si>
    <t>BUCKETCHAIN</t>
  </si>
  <si>
    <t>GAS</t>
  </si>
  <si>
    <t>REFDATE</t>
  </si>
  <si>
    <t>PRICESET</t>
  </si>
  <si>
    <t>EC</t>
  </si>
  <si>
    <t>PRICING</t>
  </si>
  <si>
    <t>NBSCENARIOS</t>
  </si>
  <si>
    <t>MODE</t>
  </si>
  <si>
    <t>FORWARD</t>
  </si>
  <si>
    <t>Bachelier</t>
  </si>
  <si>
    <t>FIELDS</t>
  </si>
  <si>
    <t>MYSNP2</t>
  </si>
  <si>
    <t>LOC</t>
  </si>
  <si>
    <t>Update</t>
  </si>
  <si>
    <t>REPORT</t>
  </si>
  <si>
    <t>Global Status</t>
  </si>
  <si>
    <t>Page</t>
  </si>
  <si>
    <t>PRMS/GPS</t>
  </si>
  <si>
    <t>XDOA</t>
  </si>
  <si>
    <t>P</t>
  </si>
  <si>
    <t>TUTU2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</si>
</sst>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Fill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617220</xdr:colOff>
          <xdr:row>1</xdr:row>
          <xdr:rowOff>106680</xdr:rowOff>
        </xdr:from>
        <xdr:to>
          <xdr:col>9</xdr:col>
          <xdr:colOff>205740</xdr:colOff>
          <xdr:row>6</xdr:row>
          <xdr:rowOff>60960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U67"/>
  <sheetViews>
    <sheetView tabSelected="1" workbookViewId="0">
      <selection activeCell="C8" sqref="C8"/>
    </sheetView>
  </sheetViews>
  <sheetFormatPr baseColWidth="10" defaultRowHeight="14.4" outlineLevelRow="1" x14ac:dyDescent="0.3"/>
  <cols>
    <col min="1" max="1" width="13.77734375" bestFit="1" customWidth="1"/>
    <col min="2" max="2" width="18.21875" customWidth="1"/>
    <col min="3" max="3" width="13.77734375" bestFit="1" customWidth="1"/>
    <col min="4" max="4" width="23.109375" customWidth="1"/>
    <col min="5" max="5" width="12.88671875" bestFit="1" customWidth="1"/>
    <col min="6" max="6" width="17.33203125" bestFit="1" customWidth="1"/>
    <col min="7" max="7" width="9.5546875" bestFit="1" customWidth="1"/>
    <col min="8" max="8" width="10.5546875" bestFit="1" customWidth="1"/>
    <col min="9" max="9" width="5.88671875" bestFit="1" customWidth="1"/>
    <col min="10" max="10" width="12.6640625" bestFit="1" customWidth="1"/>
    <col min="11" max="11" width="10.6640625" bestFit="1" customWidth="1"/>
    <col min="14" max="14" width="11.6640625" bestFit="1" customWidth="1"/>
    <col min="15" max="15" width="8.33203125" bestFit="1" customWidth="1"/>
    <col min="16" max="16" width="6" bestFit="1" customWidth="1"/>
    <col min="17" max="17" width="6.44140625" bestFit="1" customWidth="1"/>
    <col min="18" max="18" width="8" bestFit="1" customWidth="1"/>
    <col min="19" max="20" width="6" bestFit="1" customWidth="1"/>
    <col min="21" max="23" width="5.21875" bestFit="1" customWidth="1"/>
  </cols>
  <sheetData>
    <row r="1" spans="1:8" x14ac:dyDescent="0.3">
      <c r="A1" t="s">
        <v>30</v>
      </c>
      <c r="B1" s="3">
        <v>42649.71261574074</v>
      </c>
      <c r="C1" t="s">
        <v>32</v>
      </c>
      <c r="D1">
        <f>_xll.rms_getStatus(B2)</f>
        <v>0</v>
      </c>
    </row>
    <row r="2" spans="1:8" s="4" customFormat="1" outlineLevel="1" x14ac:dyDescent="0.3">
      <c r="A2" s="2" t="s">
        <v>9</v>
      </c>
      <c r="B2" s="4" t="str">
        <f>_xll.rms_createEnv(B3,B4,B5,B6,B7,B8,B9)&amp;"!TIME="&amp;B1</f>
        <v>MYENV:1!TIME=42649.7126157407</v>
      </c>
      <c r="C2" s="2" t="s">
        <v>10</v>
      </c>
      <c r="D2" s="4" t="str">
        <f>_xll.rms_createSnapshot(D3,D4,D5,D6,D7,D8,D9,D10)</f>
        <v>MYSNP2:1!Size=707</v>
      </c>
      <c r="E2" s="2" t="s">
        <v>31</v>
      </c>
      <c r="F2" t="str">
        <f>_xll.rms_createInstvals(F3,F4,F5,F6,F7,F8,F9,F10,F11)</f>
        <v>TUTU2:1!Size=707</v>
      </c>
      <c r="G2"/>
      <c r="H2"/>
    </row>
    <row r="3" spans="1:8" outlineLevel="1" x14ac:dyDescent="0.3">
      <c r="A3" s="2" t="s">
        <v>0</v>
      </c>
      <c r="B3" t="s">
        <v>8</v>
      </c>
      <c r="C3" s="2" t="s">
        <v>0</v>
      </c>
      <c r="D3" t="s">
        <v>28</v>
      </c>
      <c r="E3" s="2" t="s">
        <v>0</v>
      </c>
      <c r="F3" t="s">
        <v>37</v>
      </c>
    </row>
    <row r="4" spans="1:8" outlineLevel="1" x14ac:dyDescent="0.3">
      <c r="A4" s="2" t="s">
        <v>6</v>
      </c>
      <c r="B4" s="1">
        <v>42613</v>
      </c>
      <c r="C4" s="2" t="s">
        <v>11</v>
      </c>
      <c r="D4" s="1">
        <v>42613</v>
      </c>
      <c r="E4" s="2" t="s">
        <v>19</v>
      </c>
      <c r="F4" s="1">
        <v>42613</v>
      </c>
    </row>
    <row r="5" spans="1:8" outlineLevel="1" x14ac:dyDescent="0.3">
      <c r="A5" s="2" t="s">
        <v>4</v>
      </c>
      <c r="B5" t="s">
        <v>36</v>
      </c>
      <c r="C5" s="2" t="s">
        <v>12</v>
      </c>
      <c r="D5">
        <v>0</v>
      </c>
      <c r="E5" s="2" t="s">
        <v>2</v>
      </c>
      <c r="F5" s="1">
        <v>42613</v>
      </c>
    </row>
    <row r="6" spans="1:8" outlineLevel="1" x14ac:dyDescent="0.3">
      <c r="A6" s="2" t="s">
        <v>5</v>
      </c>
      <c r="C6" s="2" t="s">
        <v>13</v>
      </c>
      <c r="D6">
        <v>12</v>
      </c>
      <c r="E6" s="2" t="s">
        <v>17</v>
      </c>
      <c r="F6" t="s">
        <v>18</v>
      </c>
    </row>
    <row r="7" spans="1:8" outlineLevel="1" x14ac:dyDescent="0.3">
      <c r="A7" s="2" t="s">
        <v>1</v>
      </c>
      <c r="B7" t="s">
        <v>34</v>
      </c>
      <c r="C7" s="2" t="s">
        <v>9</v>
      </c>
      <c r="D7" t="str">
        <f>B2</f>
        <v>MYENV:1!TIME=42649.7126157407</v>
      </c>
      <c r="E7" s="2" t="s">
        <v>10</v>
      </c>
      <c r="F7" t="str">
        <f>D2</f>
        <v>MYSNP2:1!Size=707</v>
      </c>
    </row>
    <row r="8" spans="1:8" outlineLevel="1" x14ac:dyDescent="0.3">
      <c r="A8" s="2" t="s">
        <v>2</v>
      </c>
      <c r="B8" t="s">
        <v>7</v>
      </c>
      <c r="C8" s="2" t="s">
        <v>14</v>
      </c>
      <c r="E8" s="2" t="s">
        <v>20</v>
      </c>
      <c r="F8" t="s">
        <v>21</v>
      </c>
    </row>
    <row r="9" spans="1:8" outlineLevel="1" x14ac:dyDescent="0.3">
      <c r="A9" s="2" t="s">
        <v>3</v>
      </c>
      <c r="B9" t="s">
        <v>7</v>
      </c>
      <c r="C9" s="2" t="s">
        <v>15</v>
      </c>
      <c r="D9" t="s">
        <v>35</v>
      </c>
      <c r="E9" s="2" t="s">
        <v>24</v>
      </c>
      <c r="F9" t="s">
        <v>25</v>
      </c>
    </row>
    <row r="10" spans="1:8" outlineLevel="1" x14ac:dyDescent="0.3">
      <c r="A10" s="2"/>
      <c r="C10" s="2" t="s">
        <v>16</v>
      </c>
      <c r="E10" s="2" t="s">
        <v>22</v>
      </c>
      <c r="F10" t="s">
        <v>26</v>
      </c>
    </row>
    <row r="11" spans="1:8" outlineLevel="1" x14ac:dyDescent="0.3">
      <c r="A11" s="2"/>
      <c r="C11" s="2"/>
      <c r="E11" s="2" t="s">
        <v>23</v>
      </c>
      <c r="F11">
        <v>1</v>
      </c>
    </row>
    <row r="12" spans="1:8" outlineLevel="1" x14ac:dyDescent="0.3">
      <c r="A12" s="2"/>
      <c r="C12" s="2"/>
      <c r="E12" s="2" t="s">
        <v>27</v>
      </c>
      <c r="F12" t="s">
        <v>29</v>
      </c>
    </row>
    <row r="13" spans="1:8" outlineLevel="1" x14ac:dyDescent="0.3">
      <c r="A13" s="2"/>
      <c r="C13" s="2"/>
      <c r="E13" s="2"/>
    </row>
    <row r="16" spans="1:8" x14ac:dyDescent="0.3">
      <c r="B16" t="s">
        <v>33</v>
      </c>
      <c r="C16">
        <v>0</v>
      </c>
    </row>
    <row r="17" spans="2:21" x14ac:dyDescent="0.3">
      <c r="B17" t="str">
        <f t="array" ref="B17:L67">_xll.rms_viewReport(F2,C16*50,50)</f>
        <v>REFDATE</v>
      </c>
      <c r="C17" t="str">
        <v>LABEL</v>
      </c>
      <c r="D17" t="str">
        <v>TNUM</v>
      </c>
      <c r="E17" t="str">
        <v>BUCKET</v>
      </c>
      <c r="F17" t="str">
        <v>BUCKETS</v>
      </c>
      <c r="G17" t="str">
        <v>BUCKETE</v>
      </c>
      <c r="H17" t="str">
        <v>FLOW</v>
      </c>
      <c r="I17" t="str">
        <v>LEG</v>
      </c>
      <c r="J17" t="str">
        <v>FVVAL</v>
      </c>
      <c r="K17" t="str">
        <v>FVVALCCY</v>
      </c>
      <c r="L17" t="str">
        <v>VOLUME</v>
      </c>
      <c r="N17" t="e">
        <f t="array" aca="1" ref="N17:U67" ca="1">_xll.viewErrors(F2,C16*50,50)</f>
        <v>#NAME?</v>
      </c>
      <c r="O17" t="e">
        <f ca="1"/>
        <v>#NAME?</v>
      </c>
      <c r="P17" t="e">
        <f ca="1"/>
        <v>#NAME?</v>
      </c>
      <c r="Q17" t="e">
        <f ca="1"/>
        <v>#NAME?</v>
      </c>
      <c r="R17" t="e">
        <f ca="1"/>
        <v>#NAME?</v>
      </c>
      <c r="S17" t="e">
        <f ca="1"/>
        <v>#NAME?</v>
      </c>
      <c r="T17" t="e">
        <f ca="1"/>
        <v>#NAME?</v>
      </c>
      <c r="U17" t="e">
        <f ca="1"/>
        <v>#NAME?</v>
      </c>
    </row>
    <row r="18" spans="2:21" x14ac:dyDescent="0.3">
      <c r="B18" s="1" t="str">
        <v>31AUG2016</v>
      </c>
      <c r="C18" t="str">
        <v>TUTU2</v>
      </c>
      <c r="D18" s="1" t="str">
        <v>VBMBZU</v>
      </c>
      <c r="E18" t="str">
        <v>M_05</v>
      </c>
      <c r="F18" t="str">
        <v>01JAN2017</v>
      </c>
      <c r="G18" s="1" t="str">
        <v>31JAN2017</v>
      </c>
      <c r="H18" s="1" t="str">
        <v>MV</v>
      </c>
      <c r="I18">
        <v>1</v>
      </c>
      <c r="J18">
        <v>-104821.992216</v>
      </c>
      <c r="K18">
        <v>-104821.992216</v>
      </c>
      <c r="L18">
        <v>-1440</v>
      </c>
      <c r="N18" t="e">
        <f ca="1"/>
        <v>#NAME?</v>
      </c>
      <c r="O18" t="e">
        <f ca="1"/>
        <v>#NAME?</v>
      </c>
      <c r="P18" t="e">
        <f ca="1"/>
        <v>#NAME?</v>
      </c>
      <c r="Q18" t="e">
        <f ca="1"/>
        <v>#NAME?</v>
      </c>
      <c r="R18" t="e">
        <f ca="1"/>
        <v>#NAME?</v>
      </c>
      <c r="S18" t="e">
        <f ca="1"/>
        <v>#NAME?</v>
      </c>
      <c r="T18" t="e">
        <f ca="1"/>
        <v>#NAME?</v>
      </c>
      <c r="U18" t="e">
        <f ca="1"/>
        <v>#NAME?</v>
      </c>
    </row>
    <row r="19" spans="2:21" x14ac:dyDescent="0.3">
      <c r="B19" s="1" t="str">
        <v>31AUG2016</v>
      </c>
      <c r="C19" t="str">
        <v>TUTU2</v>
      </c>
      <c r="D19" s="1" t="str">
        <v>VBMBZU</v>
      </c>
      <c r="E19" t="str">
        <v>M_05</v>
      </c>
      <c r="F19" t="str">
        <v>01JAN2017</v>
      </c>
      <c r="G19" s="1" t="str">
        <v>31JAN2017</v>
      </c>
      <c r="H19" s="1" t="str">
        <v>CF</v>
      </c>
      <c r="I19">
        <v>2</v>
      </c>
      <c r="J19">
        <v>103204.80000000005</v>
      </c>
      <c r="K19">
        <v>103204.80000000005</v>
      </c>
      <c r="L19">
        <v>-1440</v>
      </c>
      <c r="N19" t="e">
        <f ca="1"/>
        <v>#NAME?</v>
      </c>
      <c r="O19" t="e">
        <f ca="1"/>
        <v>#NAME?</v>
      </c>
      <c r="P19" t="e">
        <f ca="1"/>
        <v>#NAME?</v>
      </c>
      <c r="Q19" t="e">
        <f ca="1"/>
        <v>#NAME?</v>
      </c>
      <c r="R19" t="e">
        <f ca="1"/>
        <v>#NAME?</v>
      </c>
      <c r="S19" t="e">
        <f ca="1"/>
        <v>#NAME?</v>
      </c>
      <c r="T19" t="e">
        <f ca="1"/>
        <v>#NAME?</v>
      </c>
      <c r="U19" t="e">
        <f ca="1"/>
        <v>#NAME?</v>
      </c>
    </row>
    <row r="20" spans="2:21" x14ac:dyDescent="0.3">
      <c r="B20" s="1" t="str">
        <v>31AUG2016</v>
      </c>
      <c r="C20" t="str">
        <v>TUTU2</v>
      </c>
      <c r="D20" s="1" t="str">
        <v>VBMBZU</v>
      </c>
      <c r="E20" t="str">
        <v>M_06</v>
      </c>
      <c r="F20" t="str">
        <v>01FEB2017</v>
      </c>
      <c r="G20" s="1" t="str">
        <v>28FEB2017</v>
      </c>
      <c r="H20" s="1" t="str">
        <v>MV</v>
      </c>
      <c r="I20">
        <v>1</v>
      </c>
      <c r="J20">
        <v>-104375.76667199997</v>
      </c>
      <c r="K20">
        <v>-104375.76667199997</v>
      </c>
      <c r="L20">
        <v>-1295.9999999999995</v>
      </c>
      <c r="N20" t="e">
        <f ca="1"/>
        <v>#NAME?</v>
      </c>
      <c r="O20" t="e">
        <f ca="1"/>
        <v>#NAME?</v>
      </c>
      <c r="P20" t="e">
        <f ca="1"/>
        <v>#NAME?</v>
      </c>
      <c r="Q20" t="e">
        <f ca="1"/>
        <v>#NAME?</v>
      </c>
      <c r="R20" t="e">
        <f ca="1"/>
        <v>#NAME?</v>
      </c>
      <c r="S20" t="e">
        <f ca="1"/>
        <v>#NAME?</v>
      </c>
      <c r="T20" t="e">
        <f ca="1"/>
        <v>#NAME?</v>
      </c>
      <c r="U20" t="e">
        <f ca="1"/>
        <v>#NAME?</v>
      </c>
    </row>
    <row r="21" spans="2:21" x14ac:dyDescent="0.3">
      <c r="B21" s="1" t="str">
        <v>31AUG2016</v>
      </c>
      <c r="C21" t="str">
        <v>TUTU2</v>
      </c>
      <c r="D21" s="1" t="str">
        <v>VBMBZU</v>
      </c>
      <c r="E21" t="str">
        <v>M_06</v>
      </c>
      <c r="F21" t="str">
        <v>01FEB2017</v>
      </c>
      <c r="G21" s="1" t="str">
        <v>28FEB2017</v>
      </c>
      <c r="H21" s="1" t="str">
        <v>CF</v>
      </c>
      <c r="I21">
        <v>2</v>
      </c>
      <c r="J21">
        <v>92884.32</v>
      </c>
      <c r="K21">
        <v>92884.32</v>
      </c>
      <c r="L21">
        <v>-1295.9999999999995</v>
      </c>
      <c r="N21" t="e">
        <f ca="1"/>
        <v>#NAME?</v>
      </c>
      <c r="O21" t="e">
        <f ca="1"/>
        <v>#NAME?</v>
      </c>
      <c r="P21" t="e">
        <f ca="1"/>
        <v>#NAME?</v>
      </c>
      <c r="Q21" t="e">
        <f ca="1"/>
        <v>#NAME?</v>
      </c>
      <c r="R21" t="e">
        <f ca="1"/>
        <v>#NAME?</v>
      </c>
      <c r="S21" t="e">
        <f ca="1"/>
        <v>#NAME?</v>
      </c>
      <c r="T21" t="e">
        <f ca="1"/>
        <v>#NAME?</v>
      </c>
      <c r="U21" t="e">
        <f ca="1"/>
        <v>#NAME?</v>
      </c>
    </row>
    <row r="22" spans="2:21" x14ac:dyDescent="0.3">
      <c r="B22" s="1" t="str">
        <v>31AUG2016</v>
      </c>
      <c r="C22" t="str">
        <v>TUTU2</v>
      </c>
      <c r="D22" s="1" t="str">
        <v>VBMBZU</v>
      </c>
      <c r="E22" t="str">
        <v>M_07</v>
      </c>
      <c r="F22" t="str">
        <v>01MAR2017</v>
      </c>
      <c r="G22" s="1" t="str">
        <v>31MAR2017</v>
      </c>
      <c r="H22" s="1" t="str">
        <v>MV</v>
      </c>
      <c r="I22">
        <v>1</v>
      </c>
      <c r="J22">
        <v>-95104.063764000035</v>
      </c>
      <c r="K22">
        <v>-95104.063764000035</v>
      </c>
      <c r="L22">
        <v>-1401</v>
      </c>
      <c r="N22" t="e">
        <f ca="1"/>
        <v>#NAME?</v>
      </c>
      <c r="O22" t="e">
        <f ca="1"/>
        <v>#NAME?</v>
      </c>
      <c r="P22" t="e">
        <f ca="1"/>
        <v>#NAME?</v>
      </c>
      <c r="Q22" t="e">
        <f ca="1"/>
        <v>#NAME?</v>
      </c>
      <c r="R22" t="e">
        <f ca="1"/>
        <v>#NAME?</v>
      </c>
      <c r="S22" t="e">
        <f ca="1"/>
        <v>#NAME?</v>
      </c>
      <c r="T22" t="e">
        <f ca="1"/>
        <v>#NAME?</v>
      </c>
      <c r="U22" t="e">
        <f ca="1"/>
        <v>#NAME?</v>
      </c>
    </row>
    <row r="23" spans="2:21" x14ac:dyDescent="0.3">
      <c r="B23" s="1" t="str">
        <v>31AUG2016</v>
      </c>
      <c r="C23" t="str">
        <v>TUTU2</v>
      </c>
      <c r="D23" t="str">
        <v>VBMBZU</v>
      </c>
      <c r="E23" t="str">
        <v>M_07</v>
      </c>
      <c r="F23" t="str">
        <v>01MAR2017</v>
      </c>
      <c r="G23" s="1" t="str">
        <v>31MAR2017</v>
      </c>
      <c r="H23" s="1" t="str">
        <v>CF</v>
      </c>
      <c r="I23">
        <v>2</v>
      </c>
      <c r="J23">
        <v>100409.67</v>
      </c>
      <c r="K23">
        <v>100409.67</v>
      </c>
      <c r="L23">
        <v>-1401</v>
      </c>
      <c r="N23" t="e">
        <f ca="1"/>
        <v>#NAME?</v>
      </c>
      <c r="O23" t="e">
        <f ca="1"/>
        <v>#NAME?</v>
      </c>
      <c r="P23" t="e">
        <f ca="1"/>
        <v>#NAME?</v>
      </c>
      <c r="Q23" t="e">
        <f ca="1"/>
        <v>#NAME?</v>
      </c>
      <c r="R23" t="e">
        <f ca="1"/>
        <v>#NAME?</v>
      </c>
      <c r="S23" t="e">
        <f ca="1"/>
        <v>#NAME?</v>
      </c>
      <c r="T23" t="e">
        <f ca="1"/>
        <v>#NAME?</v>
      </c>
      <c r="U23" t="e">
        <f ca="1"/>
        <v>#NAME?</v>
      </c>
    </row>
    <row r="24" spans="2:21" x14ac:dyDescent="0.3">
      <c r="B24" s="1" t="str">
        <v>31AUG2016</v>
      </c>
      <c r="C24" t="str">
        <v>TUTU2</v>
      </c>
      <c r="D24" t="str">
        <v>VBMBZU</v>
      </c>
      <c r="E24" t="str">
        <v>M_08</v>
      </c>
      <c r="F24" t="str">
        <v>01APR2017</v>
      </c>
      <c r="G24" s="1" t="str">
        <v>30APR2017</v>
      </c>
      <c r="H24" s="1" t="str">
        <v>MV</v>
      </c>
      <c r="I24">
        <v>1</v>
      </c>
      <c r="J24">
        <v>-93323.413440000091</v>
      </c>
      <c r="K24">
        <v>-93323.413440000091</v>
      </c>
      <c r="L24">
        <v>-1440</v>
      </c>
      <c r="N24" t="e">
        <f ca="1"/>
        <v>#NAME?</v>
      </c>
      <c r="O24" t="e">
        <f ca="1"/>
        <v>#NAME?</v>
      </c>
      <c r="P24" t="e">
        <f ca="1"/>
        <v>#NAME?</v>
      </c>
      <c r="Q24" t="e">
        <f ca="1"/>
        <v>#NAME?</v>
      </c>
      <c r="R24" t="e">
        <f ca="1"/>
        <v>#NAME?</v>
      </c>
      <c r="S24" t="e">
        <f ca="1"/>
        <v>#NAME?</v>
      </c>
      <c r="T24" t="e">
        <f ca="1"/>
        <v>#NAME?</v>
      </c>
      <c r="U24" t="e">
        <f ca="1"/>
        <v>#NAME?</v>
      </c>
    </row>
    <row r="25" spans="2:21" x14ac:dyDescent="0.3">
      <c r="B25" s="1" t="str">
        <v>31AUG2016</v>
      </c>
      <c r="C25" t="str">
        <v>TUTU2</v>
      </c>
      <c r="D25" t="str">
        <v>VBMBZU</v>
      </c>
      <c r="E25" t="str">
        <v>M_08</v>
      </c>
      <c r="F25" t="str">
        <v>01APR2017</v>
      </c>
      <c r="G25" s="1" t="str">
        <v>30APR2017</v>
      </c>
      <c r="H25" s="1" t="str">
        <v>CF</v>
      </c>
      <c r="I25">
        <v>2</v>
      </c>
      <c r="J25">
        <v>103204.80000000005</v>
      </c>
      <c r="K25">
        <v>103204.80000000005</v>
      </c>
      <c r="L25">
        <v>-1440</v>
      </c>
      <c r="N25" t="e">
        <f ca="1"/>
        <v>#NAME?</v>
      </c>
      <c r="O25" t="e">
        <f ca="1"/>
        <v>#NAME?</v>
      </c>
      <c r="P25" t="e">
        <f ca="1"/>
        <v>#NAME?</v>
      </c>
      <c r="Q25" t="e">
        <f ca="1"/>
        <v>#NAME?</v>
      </c>
      <c r="R25" t="e">
        <f ca="1"/>
        <v>#NAME?</v>
      </c>
      <c r="S25" t="e">
        <f ca="1"/>
        <v>#NAME?</v>
      </c>
      <c r="T25" t="e">
        <f ca="1"/>
        <v>#NAME?</v>
      </c>
      <c r="U25" t="e">
        <f ca="1"/>
        <v>#NAME?</v>
      </c>
    </row>
    <row r="26" spans="2:21" x14ac:dyDescent="0.3">
      <c r="B26" s="1" t="str">
        <v>31AUG2016</v>
      </c>
      <c r="C26" t="str">
        <v>TUTU2</v>
      </c>
      <c r="D26" t="str">
        <v>VBMBZU</v>
      </c>
      <c r="E26" t="str">
        <v>M_09</v>
      </c>
      <c r="F26" t="str">
        <v>01MAY2017</v>
      </c>
      <c r="G26" s="1" t="str">
        <v>31MAY2017</v>
      </c>
      <c r="H26" s="1" t="str">
        <v>MV</v>
      </c>
      <c r="I26">
        <v>1</v>
      </c>
      <c r="J26">
        <v>-80598.292811999985</v>
      </c>
      <c r="K26">
        <v>-80598.292811999985</v>
      </c>
      <c r="L26">
        <v>-1403.9999999999998</v>
      </c>
      <c r="N26" t="e">
        <f ca="1"/>
        <v>#NAME?</v>
      </c>
      <c r="O26" t="e">
        <f ca="1"/>
        <v>#NAME?</v>
      </c>
      <c r="P26" t="e">
        <f ca="1"/>
        <v>#NAME?</v>
      </c>
      <c r="Q26" t="e">
        <f ca="1"/>
        <v>#NAME?</v>
      </c>
      <c r="R26" t="e">
        <f ca="1"/>
        <v>#NAME?</v>
      </c>
      <c r="S26" t="e">
        <f ca="1"/>
        <v>#NAME?</v>
      </c>
      <c r="T26" t="e">
        <f ca="1"/>
        <v>#NAME?</v>
      </c>
      <c r="U26" t="e">
        <f ca="1"/>
        <v>#NAME?</v>
      </c>
    </row>
    <row r="27" spans="2:21" x14ac:dyDescent="0.3">
      <c r="B27" s="1" t="str">
        <v>31AUG2016</v>
      </c>
      <c r="C27" t="str">
        <v>TUTU2</v>
      </c>
      <c r="D27" t="str">
        <v>VBMBZU</v>
      </c>
      <c r="E27" t="str">
        <v>M_09</v>
      </c>
      <c r="F27" t="str">
        <v>01MAY2017</v>
      </c>
      <c r="G27" s="1" t="str">
        <v>31MAY2017</v>
      </c>
      <c r="H27" s="1" t="str">
        <v>CF</v>
      </c>
      <c r="I27">
        <v>2</v>
      </c>
      <c r="J27">
        <v>100624.68000000002</v>
      </c>
      <c r="K27">
        <v>100624.68000000002</v>
      </c>
      <c r="L27">
        <v>-1403.9999999999998</v>
      </c>
      <c r="N27" t="e">
        <f ca="1"/>
        <v>#NAME?</v>
      </c>
      <c r="O27" t="e">
        <f ca="1"/>
        <v>#NAME?</v>
      </c>
      <c r="P27" t="e">
        <f ca="1"/>
        <v>#NAME?</v>
      </c>
      <c r="Q27" t="e">
        <f ca="1"/>
        <v>#NAME?</v>
      </c>
      <c r="R27" t="e">
        <f ca="1"/>
        <v>#NAME?</v>
      </c>
      <c r="S27" t="e">
        <f ca="1"/>
        <v>#NAME?</v>
      </c>
      <c r="T27" t="e">
        <f ca="1"/>
        <v>#NAME?</v>
      </c>
      <c r="U27" t="e">
        <f ca="1"/>
        <v>#NAME?</v>
      </c>
    </row>
    <row r="28" spans="2:21" x14ac:dyDescent="0.3">
      <c r="B28" s="1" t="str">
        <v>31AUG2016</v>
      </c>
      <c r="C28" t="str">
        <v>TUTU2</v>
      </c>
      <c r="D28" t="str">
        <v>VBMBZU</v>
      </c>
      <c r="E28" t="str">
        <v>M_10</v>
      </c>
      <c r="F28" t="str">
        <v>01JUN2017</v>
      </c>
      <c r="G28" s="1" t="str">
        <v>30JUN2017</v>
      </c>
      <c r="H28" s="1" t="str">
        <v>MV</v>
      </c>
      <c r="I28">
        <v>1</v>
      </c>
      <c r="J28">
        <v>-87360.440111999982</v>
      </c>
      <c r="K28">
        <v>-87360.440111999982</v>
      </c>
      <c r="L28">
        <v>-1368</v>
      </c>
      <c r="N28" t="e">
        <f ca="1"/>
        <v>#NAME?</v>
      </c>
      <c r="O28" t="e">
        <f ca="1"/>
        <v>#NAME?</v>
      </c>
      <c r="P28" t="e">
        <f ca="1"/>
        <v>#NAME?</v>
      </c>
      <c r="Q28" t="e">
        <f ca="1"/>
        <v>#NAME?</v>
      </c>
      <c r="R28" t="e">
        <f ca="1"/>
        <v>#NAME?</v>
      </c>
      <c r="S28" t="e">
        <f ca="1"/>
        <v>#NAME?</v>
      </c>
      <c r="T28" t="e">
        <f ca="1"/>
        <v>#NAME?</v>
      </c>
      <c r="U28" t="e">
        <f ca="1"/>
        <v>#NAME?</v>
      </c>
    </row>
    <row r="29" spans="2:21" x14ac:dyDescent="0.3">
      <c r="B29" s="1" t="str">
        <v>31AUG2016</v>
      </c>
      <c r="C29" t="str">
        <v>TUTU2</v>
      </c>
      <c r="D29" t="str">
        <v>VBMBZU</v>
      </c>
      <c r="E29" t="str">
        <v>M_10</v>
      </c>
      <c r="F29" t="str">
        <v>01JUN2017</v>
      </c>
      <c r="G29" s="1" t="str">
        <v>30JUN2017</v>
      </c>
      <c r="H29" s="1" t="str">
        <v>CF</v>
      </c>
      <c r="I29">
        <v>2</v>
      </c>
      <c r="J29">
        <v>98044.560000000027</v>
      </c>
      <c r="K29">
        <v>98044.560000000027</v>
      </c>
      <c r="L29">
        <v>-1368</v>
      </c>
      <c r="N29" t="e">
        <f ca="1"/>
        <v>#NAME?</v>
      </c>
      <c r="O29" t="e">
        <f ca="1"/>
        <v>#NAME?</v>
      </c>
      <c r="P29" t="e">
        <f ca="1"/>
        <v>#NAME?</v>
      </c>
      <c r="Q29" t="e">
        <f ca="1"/>
        <v>#NAME?</v>
      </c>
      <c r="R29" t="e">
        <f ca="1"/>
        <v>#NAME?</v>
      </c>
      <c r="S29" t="e">
        <f ca="1"/>
        <v>#NAME?</v>
      </c>
      <c r="T29" t="e">
        <f ca="1"/>
        <v>#NAME?</v>
      </c>
      <c r="U29" t="e">
        <f ca="1"/>
        <v>#NAME?</v>
      </c>
    </row>
    <row r="30" spans="2:21" x14ac:dyDescent="0.3">
      <c r="B30" s="1" t="str">
        <v>31AUG2016</v>
      </c>
      <c r="C30" t="str">
        <v>TUTU2</v>
      </c>
      <c r="D30" t="str">
        <v>VBMBZU</v>
      </c>
      <c r="E30" t="str">
        <v>M_11</v>
      </c>
      <c r="F30" t="str">
        <v>01JUL2017</v>
      </c>
      <c r="G30" s="1" t="str">
        <v>31JUL2017</v>
      </c>
      <c r="H30" s="1" t="str">
        <v>MV</v>
      </c>
      <c r="I30">
        <v>1</v>
      </c>
      <c r="J30">
        <v>-95030.408519999997</v>
      </c>
      <c r="K30">
        <v>-95030.408519999997</v>
      </c>
      <c r="L30">
        <v>-1476.0000000000002</v>
      </c>
      <c r="N30" t="e">
        <f ca="1"/>
        <v>#NAME?</v>
      </c>
      <c r="O30" t="e">
        <f ca="1"/>
        <v>#NAME?</v>
      </c>
      <c r="P30" t="e">
        <f ca="1"/>
        <v>#NAME?</v>
      </c>
      <c r="Q30" t="e">
        <f ca="1"/>
        <v>#NAME?</v>
      </c>
      <c r="R30" t="e">
        <f ca="1"/>
        <v>#NAME?</v>
      </c>
      <c r="S30" t="e">
        <f ca="1"/>
        <v>#NAME?</v>
      </c>
      <c r="T30" t="e">
        <f ca="1"/>
        <v>#NAME?</v>
      </c>
      <c r="U30" t="e">
        <f ca="1"/>
        <v>#NAME?</v>
      </c>
    </row>
    <row r="31" spans="2:21" x14ac:dyDescent="0.3">
      <c r="B31" s="1" t="str">
        <v>31AUG2016</v>
      </c>
      <c r="C31" t="str">
        <v>TUTU2</v>
      </c>
      <c r="D31" t="str">
        <v>VBMBZU</v>
      </c>
      <c r="E31" t="str">
        <v>M_11</v>
      </c>
      <c r="F31" t="str">
        <v>01JUL2017</v>
      </c>
      <c r="G31" s="1" t="str">
        <v>31JUL2017</v>
      </c>
      <c r="H31" s="1" t="str">
        <v>CF</v>
      </c>
      <c r="I31">
        <v>2</v>
      </c>
      <c r="J31">
        <v>105784.92000000004</v>
      </c>
      <c r="K31">
        <v>105784.92000000004</v>
      </c>
      <c r="L31">
        <v>-1476.0000000000002</v>
      </c>
      <c r="N31" t="e">
        <f ca="1"/>
        <v>#NAME?</v>
      </c>
      <c r="O31" t="e">
        <f ca="1"/>
        <v>#NAME?</v>
      </c>
      <c r="P31" t="e">
        <f ca="1"/>
        <v>#NAME?</v>
      </c>
      <c r="Q31" t="e">
        <f ca="1"/>
        <v>#NAME?</v>
      </c>
      <c r="R31" t="e">
        <f ca="1"/>
        <v>#NAME?</v>
      </c>
      <c r="S31" t="e">
        <f ca="1"/>
        <v>#NAME?</v>
      </c>
      <c r="T31" t="e">
        <f ca="1"/>
        <v>#NAME?</v>
      </c>
      <c r="U31" t="e">
        <f ca="1"/>
        <v>#NAME?</v>
      </c>
    </row>
    <row r="32" spans="2:21" x14ac:dyDescent="0.3">
      <c r="B32" s="1" t="str">
        <v>31AUG2016</v>
      </c>
      <c r="C32" t="str">
        <v>TUTU2</v>
      </c>
      <c r="D32" t="str">
        <v>VBMBZU</v>
      </c>
      <c r="E32" t="str">
        <v>M_12</v>
      </c>
      <c r="F32" t="str">
        <v>01AUG2017</v>
      </c>
      <c r="G32" s="1" t="str">
        <v>31AUG2017</v>
      </c>
      <c r="H32" s="1" t="str">
        <v>MV</v>
      </c>
      <c r="I32">
        <v>1</v>
      </c>
      <c r="J32">
        <v>-86362.567415999962</v>
      </c>
      <c r="K32">
        <v>-86362.567415999962</v>
      </c>
      <c r="L32">
        <v>-1404</v>
      </c>
      <c r="N32" t="e">
        <f ca="1"/>
        <v>#NAME?</v>
      </c>
      <c r="O32" t="e">
        <f ca="1"/>
        <v>#NAME?</v>
      </c>
      <c r="P32" t="e">
        <f ca="1"/>
        <v>#NAME?</v>
      </c>
      <c r="Q32" t="e">
        <f ca="1"/>
        <v>#NAME?</v>
      </c>
      <c r="R32" t="e">
        <f ca="1"/>
        <v>#NAME?</v>
      </c>
      <c r="S32" t="e">
        <f ca="1"/>
        <v>#NAME?</v>
      </c>
      <c r="T32" t="e">
        <f ca="1"/>
        <v>#NAME?</v>
      </c>
      <c r="U32" t="e">
        <f ca="1"/>
        <v>#NAME?</v>
      </c>
    </row>
    <row r="33" spans="2:21" x14ac:dyDescent="0.3">
      <c r="B33" s="1" t="str">
        <v>31AUG2016</v>
      </c>
      <c r="C33" t="str">
        <v>TUTU2</v>
      </c>
      <c r="D33" t="str">
        <v>VBMBZU</v>
      </c>
      <c r="E33" t="str">
        <v>M_12</v>
      </c>
      <c r="F33" t="str">
        <v>01AUG2017</v>
      </c>
      <c r="G33" s="1" t="str">
        <v>31AUG2017</v>
      </c>
      <c r="H33" s="1" t="str">
        <v>CF</v>
      </c>
      <c r="I33">
        <v>2</v>
      </c>
      <c r="J33">
        <v>100624.68000000004</v>
      </c>
      <c r="K33">
        <v>100624.68000000004</v>
      </c>
      <c r="L33">
        <v>-1404</v>
      </c>
      <c r="N33" t="e">
        <f ca="1"/>
        <v>#NAME?</v>
      </c>
      <c r="O33" t="e">
        <f ca="1"/>
        <v>#NAME?</v>
      </c>
      <c r="P33" t="e">
        <f ca="1"/>
        <v>#NAME?</v>
      </c>
      <c r="Q33" t="e">
        <f ca="1"/>
        <v>#NAME?</v>
      </c>
      <c r="R33" t="e">
        <f ca="1"/>
        <v>#NAME?</v>
      </c>
      <c r="S33" t="e">
        <f ca="1"/>
        <v>#NAME?</v>
      </c>
      <c r="T33" t="e">
        <f ca="1"/>
        <v>#NAME?</v>
      </c>
      <c r="U33" t="e">
        <f ca="1"/>
        <v>#NAME?</v>
      </c>
    </row>
    <row r="34" spans="2:21" x14ac:dyDescent="0.3">
      <c r="B34" s="1" t="str">
        <v>31AUG2016</v>
      </c>
      <c r="C34" t="str">
        <v>TUTU2</v>
      </c>
      <c r="D34" t="str">
        <v>VBMBZU</v>
      </c>
      <c r="E34" t="str">
        <v>M_13</v>
      </c>
      <c r="F34" t="str">
        <v>01SEP2017</v>
      </c>
      <c r="G34" s="1" t="str">
        <v>30SEP2017</v>
      </c>
      <c r="H34" s="1" t="str">
        <v>MV</v>
      </c>
      <c r="I34">
        <v>1</v>
      </c>
      <c r="J34">
        <v>-97540.242120000039</v>
      </c>
      <c r="K34">
        <v>-97540.242120000039</v>
      </c>
      <c r="L34">
        <v>-1404.0000000000002</v>
      </c>
      <c r="N34" t="e">
        <f ca="1"/>
        <v>#NAME?</v>
      </c>
      <c r="O34" t="e">
        <f ca="1"/>
        <v>#NAME?</v>
      </c>
      <c r="P34" t="e">
        <f ca="1"/>
        <v>#NAME?</v>
      </c>
      <c r="Q34" t="e">
        <f ca="1"/>
        <v>#NAME?</v>
      </c>
      <c r="R34" t="e">
        <f ca="1"/>
        <v>#NAME?</v>
      </c>
      <c r="S34" t="e">
        <f ca="1"/>
        <v>#NAME?</v>
      </c>
      <c r="T34" t="e">
        <f ca="1"/>
        <v>#NAME?</v>
      </c>
      <c r="U34" t="e">
        <f ca="1"/>
        <v>#NAME?</v>
      </c>
    </row>
    <row r="35" spans="2:21" x14ac:dyDescent="0.3">
      <c r="B35" s="1" t="str">
        <v>31AUG2016</v>
      </c>
      <c r="C35" t="str">
        <v>TUTU2</v>
      </c>
      <c r="D35" t="str">
        <v>VBMBZU</v>
      </c>
      <c r="E35" t="str">
        <v>M_13</v>
      </c>
      <c r="F35" t="str">
        <v>01SEP2017</v>
      </c>
      <c r="G35" s="1" t="str">
        <v>30SEP2017</v>
      </c>
      <c r="H35" s="1" t="str">
        <v>CF</v>
      </c>
      <c r="I35">
        <v>2</v>
      </c>
      <c r="J35">
        <v>100624.68000000004</v>
      </c>
      <c r="K35">
        <v>100624.68000000004</v>
      </c>
      <c r="L35">
        <v>-1404.0000000000002</v>
      </c>
      <c r="N35" t="e">
        <f ca="1"/>
        <v>#NAME?</v>
      </c>
      <c r="O35" t="e">
        <f ca="1"/>
        <v>#NAME?</v>
      </c>
      <c r="P35" t="e">
        <f ca="1"/>
        <v>#NAME?</v>
      </c>
      <c r="Q35" t="e">
        <f ca="1"/>
        <v>#NAME?</v>
      </c>
      <c r="R35" t="e">
        <f ca="1"/>
        <v>#NAME?</v>
      </c>
      <c r="S35" t="e">
        <f ca="1"/>
        <v>#NAME?</v>
      </c>
      <c r="T35" t="e">
        <f ca="1"/>
        <v>#NAME?</v>
      </c>
      <c r="U35" t="e">
        <f ca="1"/>
        <v>#NAME?</v>
      </c>
    </row>
    <row r="36" spans="2:21" x14ac:dyDescent="0.3">
      <c r="B36" s="1" t="str">
        <v>31AUG2016</v>
      </c>
      <c r="C36" t="str">
        <v>TUTU2</v>
      </c>
      <c r="D36" t="str">
        <v>VBMBZU</v>
      </c>
      <c r="E36" t="str">
        <v>M_14</v>
      </c>
      <c r="F36" t="str">
        <v>01OCT2017</v>
      </c>
      <c r="G36" s="1" t="str">
        <v>31OCT2017</v>
      </c>
      <c r="H36" s="1" t="str">
        <v>MV</v>
      </c>
      <c r="I36">
        <v>1</v>
      </c>
      <c r="J36">
        <v>-94528.584179999991</v>
      </c>
      <c r="K36">
        <v>-94528.584179999991</v>
      </c>
      <c r="L36">
        <v>-1443.0000000000002</v>
      </c>
      <c r="N36" t="e">
        <f ca="1"/>
        <v>#NAME?</v>
      </c>
      <c r="O36" t="e">
        <f ca="1"/>
        <v>#NAME?</v>
      </c>
      <c r="P36" t="e">
        <f ca="1"/>
        <v>#NAME?</v>
      </c>
      <c r="Q36" t="e">
        <f ca="1"/>
        <v>#NAME?</v>
      </c>
      <c r="R36" t="e">
        <f ca="1"/>
        <v>#NAME?</v>
      </c>
      <c r="S36" t="e">
        <f ca="1"/>
        <v>#NAME?</v>
      </c>
      <c r="T36" t="e">
        <f ca="1"/>
        <v>#NAME?</v>
      </c>
      <c r="U36" t="e">
        <f ca="1"/>
        <v>#NAME?</v>
      </c>
    </row>
    <row r="37" spans="2:21" x14ac:dyDescent="0.3">
      <c r="B37" s="1" t="str">
        <v>31AUG2016</v>
      </c>
      <c r="C37" t="str">
        <v>TUTU2</v>
      </c>
      <c r="D37" t="str">
        <v>VBMBZU</v>
      </c>
      <c r="E37" t="str">
        <v>M_14</v>
      </c>
      <c r="F37" t="str">
        <v>01OCT2017</v>
      </c>
      <c r="G37" s="1" t="str">
        <v>31OCT2017</v>
      </c>
      <c r="H37" s="1" t="str">
        <v>CF</v>
      </c>
      <c r="I37">
        <v>2</v>
      </c>
      <c r="J37">
        <v>103419.81000000003</v>
      </c>
      <c r="K37">
        <v>103419.81000000003</v>
      </c>
      <c r="L37">
        <v>-1443.0000000000002</v>
      </c>
      <c r="N37" t="e">
        <f ca="1"/>
        <v>#NAME?</v>
      </c>
      <c r="O37" t="e">
        <f ca="1"/>
        <v>#NAME?</v>
      </c>
      <c r="P37" t="e">
        <f ca="1"/>
        <v>#NAME?</v>
      </c>
      <c r="Q37" t="e">
        <f ca="1"/>
        <v>#NAME?</v>
      </c>
      <c r="R37" t="e">
        <f ca="1"/>
        <v>#NAME?</v>
      </c>
      <c r="S37" t="e">
        <f ca="1"/>
        <v>#NAME?</v>
      </c>
      <c r="T37" t="e">
        <f ca="1"/>
        <v>#NAME?</v>
      </c>
      <c r="U37" t="e">
        <f ca="1"/>
        <v>#NAME?</v>
      </c>
    </row>
    <row r="38" spans="2:21" x14ac:dyDescent="0.3">
      <c r="B38" s="1" t="str">
        <v>31AUG2016</v>
      </c>
      <c r="C38" t="str">
        <v>TUTU2</v>
      </c>
      <c r="D38" t="str">
        <v>VBMBZU</v>
      </c>
      <c r="E38" t="str">
        <v>M_15</v>
      </c>
      <c r="F38" t="str">
        <v>01NOV2017</v>
      </c>
      <c r="G38" s="1" t="str">
        <v>30NOV2017</v>
      </c>
      <c r="H38" s="1" t="str">
        <v>MV</v>
      </c>
      <c r="I38">
        <v>1</v>
      </c>
      <c r="J38">
        <v>-96373.799568000002</v>
      </c>
      <c r="K38">
        <v>-96373.799568000002</v>
      </c>
      <c r="L38">
        <v>-1367.9999999999998</v>
      </c>
      <c r="N38" t="e">
        <f ca="1"/>
        <v>#NAME?</v>
      </c>
      <c r="O38" t="e">
        <f ca="1"/>
        <v>#NAME?</v>
      </c>
      <c r="P38" t="e">
        <f ca="1"/>
        <v>#NAME?</v>
      </c>
      <c r="Q38" t="e">
        <f ca="1"/>
        <v>#NAME?</v>
      </c>
      <c r="R38" t="e">
        <f ca="1"/>
        <v>#NAME?</v>
      </c>
      <c r="S38" t="e">
        <f ca="1"/>
        <v>#NAME?</v>
      </c>
      <c r="T38" t="e">
        <f ca="1"/>
        <v>#NAME?</v>
      </c>
      <c r="U38" t="e">
        <f ca="1"/>
        <v>#NAME?</v>
      </c>
    </row>
    <row r="39" spans="2:21" x14ac:dyDescent="0.3">
      <c r="B39" s="1" t="str">
        <v>31AUG2016</v>
      </c>
      <c r="C39" t="str">
        <v>TUTU2</v>
      </c>
      <c r="D39" t="str">
        <v>VBMBZU</v>
      </c>
      <c r="E39" t="str">
        <v>M_15</v>
      </c>
      <c r="F39" t="str">
        <v>01NOV2017</v>
      </c>
      <c r="G39" s="1" t="str">
        <v>30NOV2017</v>
      </c>
      <c r="H39" s="1" t="str">
        <v>CF</v>
      </c>
      <c r="I39">
        <v>2</v>
      </c>
      <c r="J39">
        <v>98044.560000000012</v>
      </c>
      <c r="K39">
        <v>98044.560000000012</v>
      </c>
      <c r="L39">
        <v>-1367.9999999999998</v>
      </c>
      <c r="N39" t="e">
        <f ca="1"/>
        <v>#NAME?</v>
      </c>
      <c r="O39" t="e">
        <f ca="1"/>
        <v>#NAME?</v>
      </c>
      <c r="P39" t="e">
        <f ca="1"/>
        <v>#NAME?</v>
      </c>
      <c r="Q39" t="e">
        <f ca="1"/>
        <v>#NAME?</v>
      </c>
      <c r="R39" t="e">
        <f ca="1"/>
        <v>#NAME?</v>
      </c>
      <c r="S39" t="e">
        <f ca="1"/>
        <v>#NAME?</v>
      </c>
      <c r="T39" t="e">
        <f ca="1"/>
        <v>#NAME?</v>
      </c>
      <c r="U39" t="e">
        <f ca="1"/>
        <v>#NAME?</v>
      </c>
    </row>
    <row r="40" spans="2:21" x14ac:dyDescent="0.3">
      <c r="B40" s="1" t="str">
        <v>31AUG2016</v>
      </c>
      <c r="C40" t="str">
        <v>TUTU2</v>
      </c>
      <c r="D40" t="str">
        <v>VBMBZU</v>
      </c>
      <c r="E40" t="str">
        <v>M_16</v>
      </c>
      <c r="F40" t="str">
        <v>01DEC2017</v>
      </c>
      <c r="G40" s="1" t="str">
        <v>31DEC2017</v>
      </c>
      <c r="H40" s="1" t="str">
        <v>MV</v>
      </c>
      <c r="I40">
        <v>1</v>
      </c>
      <c r="J40">
        <v>-97672.88599200004</v>
      </c>
      <c r="K40">
        <v>-97672.88599200004</v>
      </c>
      <c r="L40">
        <v>-1476.0000000000002</v>
      </c>
      <c r="N40" t="e">
        <f ca="1"/>
        <v>#NAME?</v>
      </c>
      <c r="O40" t="e">
        <f ca="1"/>
        <v>#NAME?</v>
      </c>
      <c r="P40" t="e">
        <f ca="1"/>
        <v>#NAME?</v>
      </c>
      <c r="Q40" t="e">
        <f ca="1"/>
        <v>#NAME?</v>
      </c>
      <c r="R40" t="e">
        <f ca="1"/>
        <v>#NAME?</v>
      </c>
      <c r="S40" t="e">
        <f ca="1"/>
        <v>#NAME?</v>
      </c>
      <c r="T40" t="e">
        <f ca="1"/>
        <v>#NAME?</v>
      </c>
      <c r="U40" t="e">
        <f ca="1"/>
        <v>#NAME?</v>
      </c>
    </row>
    <row r="41" spans="2:21" x14ac:dyDescent="0.3">
      <c r="B41" s="1" t="str">
        <v>31AUG2016</v>
      </c>
      <c r="C41" t="str">
        <v>TUTU2</v>
      </c>
      <c r="D41" t="str">
        <v>VBMBZU</v>
      </c>
      <c r="E41" t="str">
        <v>M_16</v>
      </c>
      <c r="F41" t="str">
        <v>01DEC2017</v>
      </c>
      <c r="G41" s="1" t="str">
        <v>31DEC2017</v>
      </c>
      <c r="H41" s="1" t="str">
        <v>CF</v>
      </c>
      <c r="I41">
        <v>2</v>
      </c>
      <c r="J41">
        <v>105784.92000000004</v>
      </c>
      <c r="K41">
        <v>105784.92000000004</v>
      </c>
      <c r="L41">
        <v>-1476.0000000000002</v>
      </c>
      <c r="N41" t="e">
        <f ca="1"/>
        <v>#NAME?</v>
      </c>
      <c r="O41" t="e">
        <f ca="1"/>
        <v>#NAME?</v>
      </c>
      <c r="P41" t="e">
        <f ca="1"/>
        <v>#NAME?</v>
      </c>
      <c r="Q41" t="e">
        <f ca="1"/>
        <v>#NAME?</v>
      </c>
      <c r="R41" t="e">
        <f ca="1"/>
        <v>#NAME?</v>
      </c>
      <c r="S41" t="e">
        <f ca="1"/>
        <v>#NAME?</v>
      </c>
      <c r="T41" t="e">
        <f ca="1"/>
        <v>#NAME?</v>
      </c>
      <c r="U41" t="e">
        <f ca="1"/>
        <v>#NAME?</v>
      </c>
    </row>
    <row r="42" spans="2:21" x14ac:dyDescent="0.3">
      <c r="B42" s="1" t="str">
        <v>31AUG2016</v>
      </c>
      <c r="C42" t="str">
        <v>TUTU2</v>
      </c>
      <c r="D42" t="str">
        <v>VCBVOF</v>
      </c>
      <c r="E42" t="str">
        <v>D_01</v>
      </c>
      <c r="F42" t="str">
        <v>01SEP2016</v>
      </c>
      <c r="G42" s="1" t="str">
        <v>01SEP2016</v>
      </c>
      <c r="H42" s="1" t="str">
        <v>CF</v>
      </c>
      <c r="I42">
        <v>1</v>
      </c>
      <c r="J42">
        <v>-87.477008684985663</v>
      </c>
      <c r="K42">
        <v>-97.402499996100005</v>
      </c>
      <c r="L42">
        <v>-0.13</v>
      </c>
      <c r="N42" t="e">
        <f ca="1"/>
        <v>#NAME?</v>
      </c>
      <c r="O42" t="e">
        <f ca="1"/>
        <v>#NAME?</v>
      </c>
      <c r="P42" t="e">
        <f ca="1"/>
        <v>#NAME?</v>
      </c>
      <c r="Q42" t="e">
        <f ca="1"/>
        <v>#NAME?</v>
      </c>
      <c r="R42" t="e">
        <f ca="1"/>
        <v>#NAME?</v>
      </c>
      <c r="S42" t="e">
        <f ca="1"/>
        <v>#NAME?</v>
      </c>
      <c r="T42" t="e">
        <f ca="1"/>
        <v>#NAME?</v>
      </c>
      <c r="U42" t="e">
        <f ca="1"/>
        <v>#NAME?</v>
      </c>
    </row>
    <row r="43" spans="2:21" x14ac:dyDescent="0.3">
      <c r="B43" s="1" t="str">
        <v>31AUG2016</v>
      </c>
      <c r="C43" t="str">
        <v>TUTU2</v>
      </c>
      <c r="D43" t="str">
        <v>VCBVOF</v>
      </c>
      <c r="E43" t="str">
        <v>D_01</v>
      </c>
      <c r="F43" t="str">
        <v>01SEP2016</v>
      </c>
      <c r="G43" s="1" t="str">
        <v>01SEP2016</v>
      </c>
      <c r="H43" s="1" t="str">
        <v>CF</v>
      </c>
      <c r="I43">
        <v>2</v>
      </c>
      <c r="J43">
        <v>82.601415000000003</v>
      </c>
      <c r="K43">
        <v>82.601415000000003</v>
      </c>
      <c r="L43">
        <v>-0.13</v>
      </c>
      <c r="N43" t="e">
        <f ca="1"/>
        <v>#NAME?</v>
      </c>
      <c r="O43" t="e">
        <f ca="1"/>
        <v>#NAME?</v>
      </c>
      <c r="P43" t="e">
        <f ca="1"/>
        <v>#NAME?</v>
      </c>
      <c r="Q43" t="e">
        <f ca="1"/>
        <v>#NAME?</v>
      </c>
      <c r="R43" t="e">
        <f ca="1"/>
        <v>#NAME?</v>
      </c>
      <c r="S43" t="e">
        <f ca="1"/>
        <v>#NAME?</v>
      </c>
      <c r="T43" t="e">
        <f ca="1"/>
        <v>#NAME?</v>
      </c>
      <c r="U43" t="e">
        <f ca="1"/>
        <v>#NAME?</v>
      </c>
    </row>
    <row r="44" spans="2:21" x14ac:dyDescent="0.3">
      <c r="B44" s="1" t="str">
        <v>31AUG2016</v>
      </c>
      <c r="C44" t="str">
        <v>TUTU2</v>
      </c>
      <c r="D44" t="str">
        <v>VCBVOF</v>
      </c>
      <c r="E44" t="str">
        <v>M_01</v>
      </c>
      <c r="F44" t="str">
        <v>02SEP2016</v>
      </c>
      <c r="G44" s="1" t="str">
        <v>30SEP2016</v>
      </c>
      <c r="H44" s="1" t="str">
        <v>CF</v>
      </c>
      <c r="I44">
        <v>1</v>
      </c>
      <c r="J44">
        <v>-2488.3623395985642</v>
      </c>
      <c r="K44">
        <v>-2773.7774998862228</v>
      </c>
      <c r="L44">
        <v>-3.77</v>
      </c>
      <c r="N44" t="e">
        <f ca="1"/>
        <v>#NAME?</v>
      </c>
      <c r="O44" t="e">
        <f ca="1"/>
        <v>#NAME?</v>
      </c>
      <c r="P44" t="e">
        <f ca="1"/>
        <v>#NAME?</v>
      </c>
      <c r="Q44" t="e">
        <f ca="1"/>
        <v>#NAME?</v>
      </c>
      <c r="R44" t="e">
        <f ca="1"/>
        <v>#NAME?</v>
      </c>
      <c r="S44" t="e">
        <f ca="1"/>
        <v>#NAME?</v>
      </c>
      <c r="T44" t="e">
        <f ca="1"/>
        <v>#NAME?</v>
      </c>
      <c r="U44" t="e">
        <f ca="1"/>
        <v>#NAME?</v>
      </c>
    </row>
    <row r="45" spans="2:21" x14ac:dyDescent="0.3">
      <c r="B45" s="1" t="str">
        <v>31AUG2016</v>
      </c>
      <c r="C45" t="str">
        <v>TUTU2</v>
      </c>
      <c r="D45" t="str">
        <v>VCBVOF</v>
      </c>
      <c r="E45" t="str">
        <v>M_01</v>
      </c>
      <c r="F45" t="str">
        <v>02SEP2016</v>
      </c>
      <c r="G45" s="1" t="str">
        <v>30SEP2016</v>
      </c>
      <c r="H45" s="1" t="str">
        <v>CF</v>
      </c>
      <c r="I45">
        <v>2</v>
      </c>
      <c r="J45">
        <v>2395.4410349999998</v>
      </c>
      <c r="K45">
        <v>2395.4410349999998</v>
      </c>
      <c r="L45">
        <v>-3.77</v>
      </c>
      <c r="N45" t="e">
        <f ca="1"/>
        <v>#NAME?</v>
      </c>
      <c r="O45" t="e">
        <f ca="1"/>
        <v>#NAME?</v>
      </c>
      <c r="P45" t="e">
        <f ca="1"/>
        <v>#NAME?</v>
      </c>
      <c r="Q45" t="e">
        <f ca="1"/>
        <v>#NAME?</v>
      </c>
      <c r="R45" t="e">
        <f ca="1"/>
        <v>#NAME?</v>
      </c>
      <c r="S45" t="e">
        <f ca="1"/>
        <v>#NAME?</v>
      </c>
      <c r="T45" t="e">
        <f ca="1"/>
        <v>#NAME?</v>
      </c>
      <c r="U45" t="e">
        <f ca="1"/>
        <v>#NAME?</v>
      </c>
    </row>
    <row r="46" spans="2:21" x14ac:dyDescent="0.3">
      <c r="B46" s="1" t="str">
        <v>31AUG2016</v>
      </c>
      <c r="C46" t="str">
        <v>TUTU2</v>
      </c>
      <c r="D46" t="str">
        <v>VASTDG</v>
      </c>
      <c r="E46" t="str">
        <v>M_05</v>
      </c>
      <c r="F46" t="str">
        <v>01JAN2017</v>
      </c>
      <c r="G46" s="1" t="str">
        <v>31JAN2017</v>
      </c>
      <c r="H46" s="1" t="str">
        <v>MV</v>
      </c>
      <c r="I46">
        <v>1</v>
      </c>
      <c r="J46">
        <v>4076.9930243558629</v>
      </c>
      <c r="K46">
        <v>4076.9930243558629</v>
      </c>
      <c r="L46">
        <v>304.13972602739727</v>
      </c>
      <c r="N46" t="e">
        <f ca="1"/>
        <v>#NAME?</v>
      </c>
      <c r="O46" t="e">
        <f ca="1"/>
        <v>#NAME?</v>
      </c>
      <c r="P46" t="e">
        <f ca="1"/>
        <v>#NAME?</v>
      </c>
      <c r="Q46" t="e">
        <f ca="1"/>
        <v>#NAME?</v>
      </c>
      <c r="R46" t="e">
        <f ca="1"/>
        <v>#NAME?</v>
      </c>
      <c r="S46" t="e">
        <f ca="1"/>
        <v>#NAME?</v>
      </c>
      <c r="T46" t="e">
        <f ca="1"/>
        <v>#NAME?</v>
      </c>
      <c r="U46" t="e">
        <f ca="1"/>
        <v>#NAME?</v>
      </c>
    </row>
    <row r="47" spans="2:21" x14ac:dyDescent="0.3">
      <c r="B47" s="1" t="str">
        <v>31AUG2016</v>
      </c>
      <c r="C47" t="str">
        <v>TUTU2</v>
      </c>
      <c r="D47" t="str">
        <v>VASTDG</v>
      </c>
      <c r="E47" t="str">
        <v>M_05</v>
      </c>
      <c r="F47" t="str">
        <v>01JAN2017</v>
      </c>
      <c r="G47" s="1" t="str">
        <v>31JAN2017</v>
      </c>
      <c r="H47" s="1" t="str">
        <v>CF</v>
      </c>
      <c r="I47">
        <v>2</v>
      </c>
      <c r="J47">
        <v>-5082.174821917808</v>
      </c>
      <c r="K47">
        <v>-5082.174821917808</v>
      </c>
      <c r="L47">
        <v>304.13972602739727</v>
      </c>
      <c r="N47" t="e">
        <f ca="1"/>
        <v>#NAME?</v>
      </c>
      <c r="O47" t="e">
        <f ca="1"/>
        <v>#NAME?</v>
      </c>
      <c r="P47" t="e">
        <f ca="1"/>
        <v>#NAME?</v>
      </c>
      <c r="Q47" t="e">
        <f ca="1"/>
        <v>#NAME?</v>
      </c>
      <c r="R47" t="e">
        <f ca="1"/>
        <v>#NAME?</v>
      </c>
      <c r="S47" t="e">
        <f ca="1"/>
        <v>#NAME?</v>
      </c>
      <c r="T47" t="e">
        <f ca="1"/>
        <v>#NAME?</v>
      </c>
      <c r="U47" t="e">
        <f ca="1"/>
        <v>#NAME?</v>
      </c>
    </row>
    <row r="48" spans="2:21" x14ac:dyDescent="0.3">
      <c r="B48" s="1" t="str">
        <v>31AUG2016</v>
      </c>
      <c r="C48" t="str">
        <v>TUTU2</v>
      </c>
      <c r="D48" t="str">
        <v>VASTDG</v>
      </c>
      <c r="E48" t="str">
        <v>M_06</v>
      </c>
      <c r="F48" t="str">
        <v>01FEB2017</v>
      </c>
      <c r="G48" s="1" t="str">
        <v>28FEB2017</v>
      </c>
      <c r="H48" s="1" t="str">
        <v>MV</v>
      </c>
      <c r="I48">
        <v>1</v>
      </c>
      <c r="J48">
        <v>3685.192378067507</v>
      </c>
      <c r="K48">
        <v>3685.192378067507</v>
      </c>
      <c r="L48">
        <v>274.7068493150685</v>
      </c>
      <c r="N48" t="e">
        <f ca="1"/>
        <v>#NAME?</v>
      </c>
      <c r="O48" t="e">
        <f ca="1"/>
        <v>#NAME?</v>
      </c>
      <c r="P48" t="e">
        <f ca="1"/>
        <v>#NAME?</v>
      </c>
      <c r="Q48" t="e">
        <f ca="1"/>
        <v>#NAME?</v>
      </c>
      <c r="R48" t="e">
        <f ca="1"/>
        <v>#NAME?</v>
      </c>
      <c r="S48" t="e">
        <f ca="1"/>
        <v>#NAME?</v>
      </c>
      <c r="T48" t="e">
        <f ca="1"/>
        <v>#NAME?</v>
      </c>
      <c r="U48" t="e">
        <f ca="1"/>
        <v>#NAME?</v>
      </c>
    </row>
    <row r="49" spans="2:21" x14ac:dyDescent="0.3">
      <c r="B49" s="1" t="str">
        <v>31AUG2016</v>
      </c>
      <c r="C49" t="str">
        <v>TUTU2</v>
      </c>
      <c r="D49" t="str">
        <v>VASTDG</v>
      </c>
      <c r="E49" t="str">
        <v>M_06</v>
      </c>
      <c r="F49" t="str">
        <v>01FEB2017</v>
      </c>
      <c r="G49" s="1" t="str">
        <v>28FEB2017</v>
      </c>
      <c r="H49" s="1" t="str">
        <v>CF</v>
      </c>
      <c r="I49">
        <v>2</v>
      </c>
      <c r="J49">
        <v>-4590.3514520547951</v>
      </c>
      <c r="K49">
        <v>-4590.3514520547951</v>
      </c>
      <c r="L49">
        <v>274.7068493150685</v>
      </c>
      <c r="N49" t="e">
        <f ca="1"/>
        <v>#NAME?</v>
      </c>
      <c r="O49" t="e">
        <f ca="1"/>
        <v>#NAME?</v>
      </c>
      <c r="P49" t="e">
        <f ca="1"/>
        <v>#NAME?</v>
      </c>
      <c r="Q49" t="e">
        <f ca="1"/>
        <v>#NAME?</v>
      </c>
      <c r="R49" t="e">
        <f ca="1"/>
        <v>#NAME?</v>
      </c>
      <c r="S49" t="e">
        <f ca="1"/>
        <v>#NAME?</v>
      </c>
      <c r="T49" t="e">
        <f ca="1"/>
        <v>#NAME?</v>
      </c>
      <c r="U49" t="e">
        <f ca="1"/>
        <v>#NAME?</v>
      </c>
    </row>
    <row r="50" spans="2:21" x14ac:dyDescent="0.3">
      <c r="B50" s="1" t="str">
        <v>31AUG2016</v>
      </c>
      <c r="C50" t="str">
        <v>TUTU2</v>
      </c>
      <c r="D50" t="str">
        <v>VASTDG</v>
      </c>
      <c r="E50" t="str">
        <v>M_07</v>
      </c>
      <c r="F50" t="str">
        <v>01MAR2017</v>
      </c>
      <c r="G50" s="1" t="str">
        <v>31MAR2017</v>
      </c>
      <c r="H50" s="1" t="str">
        <v>MV</v>
      </c>
      <c r="I50">
        <v>1</v>
      </c>
      <c r="J50">
        <v>4077.5878167808214</v>
      </c>
      <c r="K50">
        <v>4077.5878167808214</v>
      </c>
      <c r="L50">
        <v>303.73093607305935</v>
      </c>
      <c r="N50" t="e">
        <f ca="1"/>
        <v>#NAME?</v>
      </c>
      <c r="O50" t="e">
        <f ca="1"/>
        <v>#NAME?</v>
      </c>
      <c r="P50" t="e">
        <f ca="1"/>
        <v>#NAME?</v>
      </c>
      <c r="Q50" t="e">
        <f ca="1"/>
        <v>#NAME?</v>
      </c>
      <c r="R50" t="e">
        <f ca="1"/>
        <v>#NAME?</v>
      </c>
      <c r="S50" t="e">
        <f ca="1"/>
        <v>#NAME?</v>
      </c>
      <c r="T50" t="e">
        <f ca="1"/>
        <v>#NAME?</v>
      </c>
      <c r="U50" t="e">
        <f ca="1"/>
        <v>#NAME?</v>
      </c>
    </row>
    <row r="51" spans="2:21" x14ac:dyDescent="0.3">
      <c r="B51" s="1" t="str">
        <v>31AUG2016</v>
      </c>
      <c r="C51" t="str">
        <v>TUTU2</v>
      </c>
      <c r="D51" t="str">
        <v>VASTDG</v>
      </c>
      <c r="E51" t="str">
        <v>M_07</v>
      </c>
      <c r="F51" t="str">
        <v>01MAR2017</v>
      </c>
      <c r="G51" s="1" t="str">
        <v>31MAR2017</v>
      </c>
      <c r="H51" s="1" t="str">
        <v>CF</v>
      </c>
      <c r="I51">
        <v>2</v>
      </c>
      <c r="J51">
        <v>-5075.3439417808222</v>
      </c>
      <c r="K51">
        <v>-5075.3439417808222</v>
      </c>
      <c r="L51">
        <v>303.73093607305935</v>
      </c>
      <c r="N51" t="e">
        <f ca="1"/>
        <v>#NAME?</v>
      </c>
      <c r="O51" t="e">
        <f ca="1"/>
        <v>#NAME?</v>
      </c>
      <c r="P51" t="e">
        <f ca="1"/>
        <v>#NAME?</v>
      </c>
      <c r="Q51" t="e">
        <f ca="1"/>
        <v>#NAME?</v>
      </c>
      <c r="R51" t="e">
        <f ca="1"/>
        <v>#NAME?</v>
      </c>
      <c r="S51" t="e">
        <f ca="1"/>
        <v>#NAME?</v>
      </c>
      <c r="T51" t="e">
        <f ca="1"/>
        <v>#NAME?</v>
      </c>
      <c r="U51" t="e">
        <f ca="1"/>
        <v>#NAME?</v>
      </c>
    </row>
    <row r="52" spans="2:21" x14ac:dyDescent="0.3">
      <c r="B52" s="1" t="str">
        <v>31AUG2016</v>
      </c>
      <c r="C52" t="str">
        <v>TUTU2</v>
      </c>
      <c r="D52" t="str">
        <v>VASTDG</v>
      </c>
      <c r="E52" t="str">
        <v>M_08</v>
      </c>
      <c r="F52" t="str">
        <v>01APR2017</v>
      </c>
      <c r="G52" s="1" t="str">
        <v>30APR2017</v>
      </c>
      <c r="H52" s="1" t="str">
        <v>MV</v>
      </c>
      <c r="I52">
        <v>1</v>
      </c>
      <c r="J52">
        <v>3954.3069833580817</v>
      </c>
      <c r="K52">
        <v>3954.3069833580817</v>
      </c>
      <c r="L52">
        <v>294.32876712328766</v>
      </c>
      <c r="N52" t="e">
        <f ca="1"/>
        <v>#NAME?</v>
      </c>
      <c r="O52" t="e">
        <f ca="1"/>
        <v>#NAME?</v>
      </c>
      <c r="P52" t="e">
        <f ca="1"/>
        <v>#NAME?</v>
      </c>
      <c r="Q52" t="e">
        <f ca="1"/>
        <v>#NAME?</v>
      </c>
      <c r="R52" t="e">
        <f ca="1"/>
        <v>#NAME?</v>
      </c>
      <c r="S52" t="e">
        <f ca="1"/>
        <v>#NAME?</v>
      </c>
      <c r="T52" t="e">
        <f ca="1"/>
        <v>#NAME?</v>
      </c>
      <c r="U52" t="e">
        <f ca="1"/>
        <v>#NAME?</v>
      </c>
    </row>
    <row r="53" spans="2:21" x14ac:dyDescent="0.3">
      <c r="B53" s="1" t="str">
        <v>31AUG2016</v>
      </c>
      <c r="C53" t="str">
        <v>TUTU2</v>
      </c>
      <c r="D53" t="str">
        <v>VASTDG</v>
      </c>
      <c r="E53" t="str">
        <v>M_08</v>
      </c>
      <c r="F53" t="str">
        <v>01APR2017</v>
      </c>
      <c r="G53" s="1" t="str">
        <v>30APR2017</v>
      </c>
      <c r="H53" s="1" t="str">
        <v>CF</v>
      </c>
      <c r="I53">
        <v>2</v>
      </c>
      <c r="J53">
        <v>-4918.233698630137</v>
      </c>
      <c r="K53">
        <v>-4918.233698630137</v>
      </c>
      <c r="L53">
        <v>294.32876712328766</v>
      </c>
      <c r="N53" t="e">
        <f ca="1"/>
        <v>#NAME?</v>
      </c>
      <c r="O53" t="e">
        <f ca="1"/>
        <v>#NAME?</v>
      </c>
      <c r="P53" t="e">
        <f ca="1"/>
        <v>#NAME?</v>
      </c>
      <c r="Q53" t="e">
        <f ca="1"/>
        <v>#NAME?</v>
      </c>
      <c r="R53" t="e">
        <f ca="1"/>
        <v>#NAME?</v>
      </c>
      <c r="S53" t="e">
        <f ca="1"/>
        <v>#NAME?</v>
      </c>
      <c r="T53" t="e">
        <f ca="1"/>
        <v>#NAME?</v>
      </c>
      <c r="U53" t="e">
        <f ca="1"/>
        <v>#NAME?</v>
      </c>
    </row>
    <row r="54" spans="2:21" x14ac:dyDescent="0.3">
      <c r="B54" s="1" t="str">
        <v>31AUG2016</v>
      </c>
      <c r="C54" t="str">
        <v>TUTU2</v>
      </c>
      <c r="D54" t="str">
        <v>VASTDG</v>
      </c>
      <c r="E54" t="str">
        <v>M_09</v>
      </c>
      <c r="F54" t="str">
        <v>01MAY2017</v>
      </c>
      <c r="G54" s="1" t="str">
        <v>31MAY2017</v>
      </c>
      <c r="H54" s="1" t="str">
        <v>MV</v>
      </c>
      <c r="I54">
        <v>1</v>
      </c>
      <c r="J54">
        <v>4089.1586103555619</v>
      </c>
      <c r="K54">
        <v>4089.1586103555619</v>
      </c>
      <c r="L54">
        <v>304.13972602739727</v>
      </c>
      <c r="N54" t="e">
        <f ca="1"/>
        <v>#NAME?</v>
      </c>
      <c r="O54" t="e">
        <f ca="1"/>
        <v>#NAME?</v>
      </c>
      <c r="P54" t="e">
        <f ca="1"/>
        <v>#NAME?</v>
      </c>
      <c r="Q54" t="e">
        <f ca="1"/>
        <v>#NAME?</v>
      </c>
      <c r="R54" t="e">
        <f ca="1"/>
        <v>#NAME?</v>
      </c>
      <c r="S54" t="e">
        <f ca="1"/>
        <v>#NAME?</v>
      </c>
      <c r="T54" t="e">
        <f ca="1"/>
        <v>#NAME?</v>
      </c>
      <c r="U54" t="e">
        <f ca="1"/>
        <v>#NAME?</v>
      </c>
    </row>
    <row r="55" spans="2:21" x14ac:dyDescent="0.3">
      <c r="B55" s="1" t="str">
        <v>31AUG2016</v>
      </c>
      <c r="C55" t="str">
        <v>TUTU2</v>
      </c>
      <c r="D55" t="str">
        <v>VASTDG</v>
      </c>
      <c r="E55" t="str">
        <v>M_09</v>
      </c>
      <c r="F55" t="str">
        <v>01MAY2017</v>
      </c>
      <c r="G55" s="1" t="str">
        <v>31MAY2017</v>
      </c>
      <c r="H55" s="1" t="str">
        <v>CF</v>
      </c>
      <c r="I55">
        <v>2</v>
      </c>
      <c r="J55">
        <v>-5082.174821917808</v>
      </c>
      <c r="K55">
        <v>-5082.174821917808</v>
      </c>
      <c r="L55">
        <v>304.13972602739727</v>
      </c>
      <c r="N55" t="e">
        <f ca="1"/>
        <v>#NAME?</v>
      </c>
      <c r="O55" t="e">
        <f ca="1"/>
        <v>#NAME?</v>
      </c>
      <c r="P55" t="e">
        <f ca="1"/>
        <v>#NAME?</v>
      </c>
      <c r="Q55" t="e">
        <f ca="1"/>
        <v>#NAME?</v>
      </c>
      <c r="R55" t="e">
        <f ca="1"/>
        <v>#NAME?</v>
      </c>
      <c r="S55" t="e">
        <f ca="1"/>
        <v>#NAME?</v>
      </c>
      <c r="T55" t="e">
        <f ca="1"/>
        <v>#NAME?</v>
      </c>
      <c r="U55" t="e">
        <f ca="1"/>
        <v>#NAME?</v>
      </c>
    </row>
    <row r="56" spans="2:21" x14ac:dyDescent="0.3">
      <c r="B56" s="1" t="str">
        <v>31AUG2016</v>
      </c>
      <c r="C56" t="str">
        <v>TUTU2</v>
      </c>
      <c r="D56" t="str">
        <v>VASTDG</v>
      </c>
      <c r="E56" t="str">
        <v>M_10</v>
      </c>
      <c r="F56" t="str">
        <v>01JUN2017</v>
      </c>
      <c r="G56" s="1" t="str">
        <v>30JUN2017</v>
      </c>
      <c r="H56" s="1" t="str">
        <v>MV</v>
      </c>
      <c r="I56">
        <v>1</v>
      </c>
      <c r="J56">
        <v>3960.1935616438359</v>
      </c>
      <c r="K56">
        <v>3960.1935616438359</v>
      </c>
      <c r="L56">
        <v>294.32876712328766</v>
      </c>
      <c r="N56" t="e">
        <f ca="1"/>
        <v>#NAME?</v>
      </c>
      <c r="O56" t="e">
        <f ca="1"/>
        <v>#NAME?</v>
      </c>
      <c r="P56" t="e">
        <f ca="1"/>
        <v>#NAME?</v>
      </c>
      <c r="Q56" t="e">
        <f ca="1"/>
        <v>#NAME?</v>
      </c>
      <c r="R56" t="e">
        <f ca="1"/>
        <v>#NAME?</v>
      </c>
      <c r="S56" t="e">
        <f ca="1"/>
        <v>#NAME?</v>
      </c>
      <c r="T56" t="e">
        <f ca="1"/>
        <v>#NAME?</v>
      </c>
      <c r="U56" t="e">
        <f ca="1"/>
        <v>#NAME?</v>
      </c>
    </row>
    <row r="57" spans="2:21" x14ac:dyDescent="0.3">
      <c r="B57" s="1" t="str">
        <v>31AUG2016</v>
      </c>
      <c r="C57" t="str">
        <v>TUTU2</v>
      </c>
      <c r="D57" t="str">
        <v>VASTDG</v>
      </c>
      <c r="E57" t="str">
        <v>M_10</v>
      </c>
      <c r="F57" t="str">
        <v>01JUN2017</v>
      </c>
      <c r="G57" s="1" t="str">
        <v>30JUN2017</v>
      </c>
      <c r="H57" s="1" t="str">
        <v>CF</v>
      </c>
      <c r="I57">
        <v>2</v>
      </c>
      <c r="J57">
        <v>-4918.233698630137</v>
      </c>
      <c r="K57">
        <v>-4918.233698630137</v>
      </c>
      <c r="L57">
        <v>294.32876712328766</v>
      </c>
      <c r="N57" t="e">
        <f ca="1"/>
        <v>#NAME?</v>
      </c>
      <c r="O57" t="e">
        <f ca="1"/>
        <v>#NAME?</v>
      </c>
      <c r="P57" t="e">
        <f ca="1"/>
        <v>#NAME?</v>
      </c>
      <c r="Q57" t="e">
        <f ca="1"/>
        <v>#NAME?</v>
      </c>
      <c r="R57" t="e">
        <f ca="1"/>
        <v>#NAME?</v>
      </c>
      <c r="S57" t="e">
        <f ca="1"/>
        <v>#NAME?</v>
      </c>
      <c r="T57" t="e">
        <f ca="1"/>
        <v>#NAME?</v>
      </c>
      <c r="U57" t="e">
        <f ca="1"/>
        <v>#NAME?</v>
      </c>
    </row>
    <row r="58" spans="2:21" x14ac:dyDescent="0.3">
      <c r="B58" s="1" t="str">
        <v>31AUG2016</v>
      </c>
      <c r="C58" t="str">
        <v>TUTU2</v>
      </c>
      <c r="D58" t="str">
        <v>VASTDG</v>
      </c>
      <c r="E58" t="str">
        <v>M_11</v>
      </c>
      <c r="F58" t="str">
        <v>01JUL2017</v>
      </c>
      <c r="G58" s="1" t="str">
        <v>31JUL2017</v>
      </c>
      <c r="H58" s="1" t="str">
        <v>MV</v>
      </c>
      <c r="I58">
        <v>1</v>
      </c>
      <c r="J58">
        <v>4095.2414079175069</v>
      </c>
      <c r="K58">
        <v>4095.2414079175069</v>
      </c>
      <c r="L58">
        <v>304.13972602739727</v>
      </c>
      <c r="N58" t="e">
        <f ca="1"/>
        <v>#NAME?</v>
      </c>
      <c r="O58" t="e">
        <f ca="1"/>
        <v>#NAME?</v>
      </c>
      <c r="P58" t="e">
        <f ca="1"/>
        <v>#NAME?</v>
      </c>
      <c r="Q58" t="e">
        <f ca="1"/>
        <v>#NAME?</v>
      </c>
      <c r="R58" t="e">
        <f ca="1"/>
        <v>#NAME?</v>
      </c>
      <c r="S58" t="e">
        <f ca="1"/>
        <v>#NAME?</v>
      </c>
      <c r="T58" t="e">
        <f ca="1"/>
        <v>#NAME?</v>
      </c>
      <c r="U58" t="e">
        <f ca="1"/>
        <v>#NAME?</v>
      </c>
    </row>
    <row r="59" spans="2:21" x14ac:dyDescent="0.3">
      <c r="B59" s="1" t="str">
        <v>31AUG2016</v>
      </c>
      <c r="C59" t="str">
        <v>TUTU2</v>
      </c>
      <c r="D59" t="str">
        <v>VASTDG</v>
      </c>
      <c r="E59" t="str">
        <v>M_11</v>
      </c>
      <c r="F59" t="str">
        <v>01JUL2017</v>
      </c>
      <c r="G59" s="1" t="str">
        <v>31JUL2017</v>
      </c>
      <c r="H59" s="1" t="str">
        <v>CF</v>
      </c>
      <c r="I59">
        <v>2</v>
      </c>
      <c r="J59">
        <v>-5082.174821917808</v>
      </c>
      <c r="K59">
        <v>-5082.174821917808</v>
      </c>
      <c r="L59">
        <v>304.13972602739727</v>
      </c>
      <c r="N59" t="e">
        <f ca="1"/>
        <v>#NAME?</v>
      </c>
      <c r="O59" t="e">
        <f ca="1"/>
        <v>#NAME?</v>
      </c>
      <c r="P59" t="e">
        <f ca="1"/>
        <v>#NAME?</v>
      </c>
      <c r="Q59" t="e">
        <f ca="1"/>
        <v>#NAME?</v>
      </c>
      <c r="R59" t="e">
        <f ca="1"/>
        <v>#NAME?</v>
      </c>
      <c r="S59" t="e">
        <f ca="1"/>
        <v>#NAME?</v>
      </c>
      <c r="T59" t="e">
        <f ca="1"/>
        <v>#NAME?</v>
      </c>
      <c r="U59" t="e">
        <f ca="1"/>
        <v>#NAME?</v>
      </c>
    </row>
    <row r="60" spans="2:21" x14ac:dyDescent="0.3">
      <c r="B60" s="1" t="str">
        <v>31AUG2016</v>
      </c>
      <c r="C60" t="str">
        <v>TUTU2</v>
      </c>
      <c r="D60" t="str">
        <v>VASTDG</v>
      </c>
      <c r="E60" t="str">
        <v>M_12</v>
      </c>
      <c r="F60" t="str">
        <v>01AUG2017</v>
      </c>
      <c r="G60" s="1" t="str">
        <v>31AUG2017</v>
      </c>
      <c r="H60" s="1" t="str">
        <v>MV</v>
      </c>
      <c r="I60">
        <v>1</v>
      </c>
      <c r="J60">
        <v>4098.2828021363839</v>
      </c>
      <c r="K60">
        <v>4098.2828021363839</v>
      </c>
      <c r="L60">
        <v>304.13972602739727</v>
      </c>
      <c r="N60" t="e">
        <f ca="1"/>
        <v>#NAME?</v>
      </c>
      <c r="O60" t="e">
        <f ca="1"/>
        <v>#NAME?</v>
      </c>
      <c r="P60" t="e">
        <f ca="1"/>
        <v>#NAME?</v>
      </c>
      <c r="Q60" t="e">
        <f ca="1"/>
        <v>#NAME?</v>
      </c>
      <c r="R60" t="e">
        <f ca="1"/>
        <v>#NAME?</v>
      </c>
      <c r="S60" t="e">
        <f ca="1"/>
        <v>#NAME?</v>
      </c>
      <c r="T60" t="e">
        <f ca="1"/>
        <v>#NAME?</v>
      </c>
      <c r="U60" t="e">
        <f ca="1"/>
        <v>#NAME?</v>
      </c>
    </row>
    <row r="61" spans="2:21" x14ac:dyDescent="0.3">
      <c r="B61" s="1" t="str">
        <v>31AUG2016</v>
      </c>
      <c r="C61" t="str">
        <v>TUTU2</v>
      </c>
      <c r="D61" t="str">
        <v>VASTDG</v>
      </c>
      <c r="E61" t="str">
        <v>M_12</v>
      </c>
      <c r="F61" t="str">
        <v>01AUG2017</v>
      </c>
      <c r="G61" s="1" t="str">
        <v>31AUG2017</v>
      </c>
      <c r="H61" s="1" t="str">
        <v>CF</v>
      </c>
      <c r="I61">
        <v>2</v>
      </c>
      <c r="J61">
        <v>-5082.174821917808</v>
      </c>
      <c r="K61">
        <v>-5082.174821917808</v>
      </c>
      <c r="L61">
        <v>304.13972602739727</v>
      </c>
      <c r="N61" t="e">
        <f ca="1"/>
        <v>#NAME?</v>
      </c>
      <c r="O61" t="e">
        <f ca="1"/>
        <v>#NAME?</v>
      </c>
      <c r="P61" t="e">
        <f ca="1"/>
        <v>#NAME?</v>
      </c>
      <c r="Q61" t="e">
        <f ca="1"/>
        <v>#NAME?</v>
      </c>
      <c r="R61" t="e">
        <f ca="1"/>
        <v>#NAME?</v>
      </c>
      <c r="S61" t="e">
        <f ca="1"/>
        <v>#NAME?</v>
      </c>
      <c r="T61" t="e">
        <f ca="1"/>
        <v>#NAME?</v>
      </c>
      <c r="U61" t="e">
        <f ca="1"/>
        <v>#NAME?</v>
      </c>
    </row>
    <row r="62" spans="2:21" x14ac:dyDescent="0.3">
      <c r="B62" s="1" t="str">
        <v>31AUG2016</v>
      </c>
      <c r="C62" t="str">
        <v>TUTU2</v>
      </c>
      <c r="D62" t="str">
        <v>VASTDG</v>
      </c>
      <c r="E62" t="str">
        <v>M_13</v>
      </c>
      <c r="F62" t="str">
        <v>01SEP2017</v>
      </c>
      <c r="G62" s="1" t="str">
        <v>30SEP2017</v>
      </c>
      <c r="H62" s="1" t="str">
        <v>MV</v>
      </c>
      <c r="I62">
        <v>1</v>
      </c>
      <c r="J62">
        <v>3969.0234246575342</v>
      </c>
      <c r="K62">
        <v>3969.0234246575342</v>
      </c>
      <c r="L62">
        <v>294.32876712328766</v>
      </c>
      <c r="N62" t="e">
        <f ca="1"/>
        <v>#NAME?</v>
      </c>
      <c r="O62" t="e">
        <f ca="1"/>
        <v>#NAME?</v>
      </c>
      <c r="P62" t="e">
        <f ca="1"/>
        <v>#NAME?</v>
      </c>
      <c r="Q62" t="e">
        <f ca="1"/>
        <v>#NAME?</v>
      </c>
      <c r="R62" t="e">
        <f ca="1"/>
        <v>#NAME?</v>
      </c>
      <c r="S62" t="e">
        <f ca="1"/>
        <v>#NAME?</v>
      </c>
      <c r="T62" t="e">
        <f ca="1"/>
        <v>#NAME?</v>
      </c>
      <c r="U62" t="e">
        <f ca="1"/>
        <v>#NAME?</v>
      </c>
    </row>
    <row r="63" spans="2:21" x14ac:dyDescent="0.3">
      <c r="B63" s="1" t="str">
        <v>31AUG2016</v>
      </c>
      <c r="C63" t="str">
        <v>TUTU2</v>
      </c>
      <c r="D63" t="str">
        <v>VASTDG</v>
      </c>
      <c r="E63" t="str">
        <v>M_13</v>
      </c>
      <c r="F63" t="str">
        <v>01SEP2017</v>
      </c>
      <c r="G63" s="1" t="str">
        <v>30SEP2017</v>
      </c>
      <c r="H63" s="1" t="str">
        <v>CF</v>
      </c>
      <c r="I63">
        <v>2</v>
      </c>
      <c r="J63">
        <v>-4918.233698630137</v>
      </c>
      <c r="K63">
        <v>-4918.233698630137</v>
      </c>
      <c r="L63">
        <v>294.32876712328766</v>
      </c>
      <c r="N63" t="e">
        <f ca="1"/>
        <v>#NAME?</v>
      </c>
      <c r="O63" t="e">
        <f ca="1"/>
        <v>#NAME?</v>
      </c>
      <c r="P63" t="e">
        <f ca="1"/>
        <v>#NAME?</v>
      </c>
      <c r="Q63" t="e">
        <f ca="1"/>
        <v>#NAME?</v>
      </c>
      <c r="R63" t="e">
        <f ca="1"/>
        <v>#NAME?</v>
      </c>
      <c r="S63" t="e">
        <f ca="1"/>
        <v>#NAME?</v>
      </c>
      <c r="T63" t="e">
        <f ca="1"/>
        <v>#NAME?</v>
      </c>
      <c r="U63" t="e">
        <f ca="1"/>
        <v>#NAME?</v>
      </c>
    </row>
    <row r="64" spans="2:21" x14ac:dyDescent="0.3">
      <c r="B64" s="1" t="str">
        <v>31AUG2016</v>
      </c>
      <c r="C64" t="str">
        <v>TUTU2</v>
      </c>
      <c r="D64" t="str">
        <v>VASTDG</v>
      </c>
      <c r="E64" t="str">
        <v>M_14</v>
      </c>
      <c r="F64" t="str">
        <v>01OCT2017</v>
      </c>
      <c r="G64" s="1" t="str">
        <v>31OCT2017</v>
      </c>
      <c r="H64" s="1" t="str">
        <v>MV</v>
      </c>
      <c r="I64">
        <v>1</v>
      </c>
      <c r="J64">
        <v>4109.8822201280309</v>
      </c>
      <c r="K64">
        <v>4109.8822201280309</v>
      </c>
      <c r="L64">
        <v>304.54851598173514</v>
      </c>
      <c r="N64" t="e">
        <f ca="1"/>
        <v>#NAME?</v>
      </c>
      <c r="O64" t="e">
        <f ca="1"/>
        <v>#NAME?</v>
      </c>
      <c r="P64" t="e">
        <f ca="1"/>
        <v>#NAME?</v>
      </c>
      <c r="Q64" t="e">
        <f ca="1"/>
        <v>#NAME?</v>
      </c>
      <c r="R64" t="e">
        <f ca="1"/>
        <v>#NAME?</v>
      </c>
      <c r="S64" t="e">
        <f ca="1"/>
        <v>#NAME?</v>
      </c>
      <c r="T64" t="e">
        <f ca="1"/>
        <v>#NAME?</v>
      </c>
      <c r="U64" t="e">
        <f ca="1"/>
        <v>#NAME?</v>
      </c>
    </row>
    <row r="65" spans="2:21" x14ac:dyDescent="0.3">
      <c r="B65" s="1" t="str">
        <v>31AUG2016</v>
      </c>
      <c r="C65" t="str">
        <v>TUTU2</v>
      </c>
      <c r="D65" t="str">
        <v>VASTDG</v>
      </c>
      <c r="E65" t="str">
        <v>M_14</v>
      </c>
      <c r="F65" t="str">
        <v>01OCT2017</v>
      </c>
      <c r="G65" s="1" t="str">
        <v>31OCT2017</v>
      </c>
      <c r="H65" s="1" t="str">
        <v>CF</v>
      </c>
      <c r="I65">
        <v>2</v>
      </c>
      <c r="J65">
        <v>-5089.0057020547947</v>
      </c>
      <c r="K65">
        <v>-5089.0057020547947</v>
      </c>
      <c r="L65">
        <v>304.54851598173514</v>
      </c>
      <c r="N65" t="e">
        <f ca="1"/>
        <v>#NAME?</v>
      </c>
      <c r="O65" t="e">
        <f ca="1"/>
        <v>#NAME?</v>
      </c>
      <c r="P65" t="e">
        <f ca="1"/>
        <v>#NAME?</v>
      </c>
      <c r="Q65" t="e">
        <f ca="1"/>
        <v>#NAME?</v>
      </c>
      <c r="R65" t="e">
        <f ca="1"/>
        <v>#NAME?</v>
      </c>
      <c r="S65" t="e">
        <f ca="1"/>
        <v>#NAME?</v>
      </c>
      <c r="T65" t="e">
        <f ca="1"/>
        <v>#NAME?</v>
      </c>
      <c r="U65" t="e">
        <f ca="1"/>
        <v>#NAME?</v>
      </c>
    </row>
    <row r="66" spans="2:21" x14ac:dyDescent="0.3">
      <c r="B66" s="1" t="str">
        <v>31AUG2016</v>
      </c>
      <c r="C66" t="str">
        <v>TUTU2</v>
      </c>
      <c r="D66" t="str">
        <v>VASTDG</v>
      </c>
      <c r="E66" t="str">
        <v>M_15</v>
      </c>
      <c r="F66" t="str">
        <v>01NOV2017</v>
      </c>
      <c r="G66" s="1" t="str">
        <v>30NOV2017</v>
      </c>
      <c r="H66" s="1" t="str">
        <v>MV</v>
      </c>
      <c r="I66">
        <v>1</v>
      </c>
      <c r="J66">
        <v>3974.9099941134245</v>
      </c>
      <c r="K66">
        <v>3974.9099941134245</v>
      </c>
      <c r="L66">
        <v>294.32876712328766</v>
      </c>
      <c r="N66" t="e">
        <f ca="1"/>
        <v>#NAME?</v>
      </c>
      <c r="O66" t="e">
        <f ca="1"/>
        <v>#NAME?</v>
      </c>
      <c r="P66" t="e">
        <f ca="1"/>
        <v>#NAME?</v>
      </c>
      <c r="Q66" t="e">
        <f ca="1"/>
        <v>#NAME?</v>
      </c>
      <c r="R66" t="e">
        <f ca="1"/>
        <v>#NAME?</v>
      </c>
      <c r="S66" t="e">
        <f ca="1"/>
        <v>#NAME?</v>
      </c>
      <c r="T66" t="e">
        <f ca="1"/>
        <v>#NAME?</v>
      </c>
      <c r="U66" t="e">
        <f ca="1"/>
        <v>#NAME?</v>
      </c>
    </row>
    <row r="67" spans="2:21" x14ac:dyDescent="0.3">
      <c r="B67" s="1" t="str">
        <v>31AUG2016</v>
      </c>
      <c r="C67" t="str">
        <v>TUTU2</v>
      </c>
      <c r="D67" t="str">
        <v>VASTDG</v>
      </c>
      <c r="E67" t="str">
        <v>M_15</v>
      </c>
      <c r="F67" t="str">
        <v>01NOV2017</v>
      </c>
      <c r="G67" s="1" t="str">
        <v>30NOV2017</v>
      </c>
      <c r="H67" s="1" t="str">
        <v>CF</v>
      </c>
      <c r="I67">
        <v>2</v>
      </c>
      <c r="J67">
        <v>-4918.233698630137</v>
      </c>
      <c r="K67">
        <v>-4918.233698630137</v>
      </c>
      <c r="L67">
        <v>294.32876712328766</v>
      </c>
      <c r="N67" t="e">
        <f ca="1"/>
        <v>#NAME?</v>
      </c>
      <c r="O67" t="e">
        <f ca="1"/>
        <v>#NAME?</v>
      </c>
      <c r="P67" t="e">
        <f ca="1"/>
        <v>#NAME?</v>
      </c>
      <c r="Q67" t="e">
        <f ca="1"/>
        <v>#NAME?</v>
      </c>
      <c r="R67" t="e">
        <f ca="1"/>
        <v>#NAME?</v>
      </c>
      <c r="S67" t="e">
        <f ca="1"/>
        <v>#NAME?</v>
      </c>
      <c r="T67" t="e">
        <f ca="1"/>
        <v>#NAME?</v>
      </c>
      <c r="U67" t="e">
        <f ca="1"/>
        <v>#NAME?</v>
      </c>
    </row>
  </sheetData>
  <conditionalFormatting sqref="D2">
    <cfRule type="containsText" dxfId="1" priority="2" operator="containsText" text="WAIT">
      <formula>NOT(ISERROR(SEARCH("WAIT",D2)))</formula>
    </cfRule>
  </conditionalFormatting>
  <conditionalFormatting sqref="F2">
    <cfRule type="containsText" dxfId="0" priority="1" operator="containsText" text="WAIT">
      <formula>NOT(ISERROR(SEARCH("WAIT",F2)))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6</xdr:col>
                <xdr:colOff>617220</xdr:colOff>
                <xdr:row>1</xdr:row>
                <xdr:rowOff>106680</xdr:rowOff>
              </from>
              <to>
                <xdr:col>9</xdr:col>
                <xdr:colOff>205740</xdr:colOff>
                <xdr:row>6</xdr:row>
                <xdr:rowOff>60960</xdr:rowOff>
              </to>
            </anchor>
          </controlPr>
        </control>
      </mc:Choice>
      <mc:Fallback>
        <control shapeId="1027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6:D9"/>
  <sheetViews>
    <sheetView workbookViewId="0">
      <selection activeCell="G7" sqref="G7"/>
    </sheetView>
  </sheetViews>
  <sheetFormatPr baseColWidth="10" defaultRowHeight="14.4" x14ac:dyDescent="0.3"/>
  <sheetData>
    <row r="6" spans="2:4" x14ac:dyDescent="0.3">
      <c r="B6">
        <v>1</v>
      </c>
      <c r="C6">
        <v>2</v>
      </c>
      <c r="D6">
        <v>3</v>
      </c>
    </row>
    <row r="7" spans="2:4" x14ac:dyDescent="0.3">
      <c r="B7">
        <v>4</v>
      </c>
      <c r="C7">
        <v>5</v>
      </c>
      <c r="D7">
        <v>6</v>
      </c>
    </row>
    <row r="9" spans="2:4" x14ac:dyDescent="0.3">
      <c r="B9" t="e">
        <f ca="1">TotoLeHeros()</f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Feuil2</vt:lpstr>
      <vt:lpstr>Feuil3</vt:lpstr>
    </vt:vector>
  </TitlesOfParts>
  <Company>GDF SUEZ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Merlin</dc:creator>
  <cp:lastModifiedBy>Francois Merlin</cp:lastModifiedBy>
  <dcterms:created xsi:type="dcterms:W3CDTF">2016-08-24T09:15:01Z</dcterms:created>
  <dcterms:modified xsi:type="dcterms:W3CDTF">2016-10-06T15:06:36Z</dcterms:modified>
</cp:coreProperties>
</file>